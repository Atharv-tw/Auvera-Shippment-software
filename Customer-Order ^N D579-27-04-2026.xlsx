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echnocian-my.sharepoint.com/personal/sti_in_techno-design_net/Documents/Docs-2019/Sharad Personal/Auvera Studio/Buyer docs/PO-D652 - received-20-04-2026/"/>
    </mc:Choice>
  </mc:AlternateContent>
  <xr:revisionPtr revIDLastSave="1" documentId="8_{6C1F1C57-A17F-4201-A917-4182E7A54641}" xr6:coauthVersionLast="47" xr6:coauthVersionMax="47" xr10:uidLastSave="{8ABC9EAA-0589-4CBF-BF62-13E9CB0E75E8}"/>
  <bookViews>
    <workbookView xWindow="-120" yWindow="-120" windowWidth="20730" windowHeight="11040" xr2:uid="{00000000-000D-0000-FFFF-FFFF00000000}"/>
  </bookViews>
  <sheets>
    <sheet name="Or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A12" i="1" l="1"/>
  <c r="Y12" i="1"/>
</calcChain>
</file>

<file path=xl/sharedStrings.xml><?xml version="1.0" encoding="utf-8"?>
<sst xmlns="http://schemas.openxmlformats.org/spreadsheetml/2006/main" count="85" uniqueCount="76">
  <si>
    <t>Roman Originals PLC
Unit 1, Vantage Point, 5 Wingfoot Close, Birmingham. B24 9JH
VAT Number: GB 111 3607 23</t>
  </si>
  <si>
    <t>Order</t>
  </si>
  <si>
    <t>D579</t>
  </si>
  <si>
    <t>Order number</t>
  </si>
  <si>
    <t>Supplier</t>
  </si>
  <si>
    <t>Code</t>
  </si>
  <si>
    <t>Country of Payment</t>
  </si>
  <si>
    <t>Payment Terms</t>
  </si>
  <si>
    <t>Currency</t>
  </si>
  <si>
    <t>Terms of Delivery</t>
  </si>
  <si>
    <t>Factory Town</t>
  </si>
  <si>
    <t>Port Of Loading</t>
  </si>
  <si>
    <t>Auvera Studio Limited</t>
  </si>
  <si>
    <t>SZ</t>
  </si>
  <si>
    <t>China</t>
  </si>
  <si>
    <t>100%TT</t>
  </si>
  <si>
    <t>GBP</t>
  </si>
  <si>
    <t>FOB(China,India)</t>
  </si>
  <si>
    <t>Nhava Sheva</t>
  </si>
  <si>
    <t>Order Date</t>
  </si>
  <si>
    <t>Supplier's ref</t>
  </si>
  <si>
    <t>RO's reference</t>
  </si>
  <si>
    <t>Ratio</t>
  </si>
  <si>
    <t>Order details</t>
  </si>
  <si>
    <t>Shipment details</t>
  </si>
  <si>
    <t>Garment details</t>
  </si>
  <si>
    <t>Article</t>
  </si>
  <si>
    <t>Description</t>
  </si>
  <si>
    <t>Colour</t>
  </si>
  <si>
    <t>Style No.</t>
  </si>
  <si>
    <t>TopUp</t>
  </si>
  <si>
    <t>LOT#</t>
  </si>
  <si>
    <t>Garment Code</t>
  </si>
  <si>
    <t xml:space="preserve">6
</t>
  </si>
  <si>
    <t xml:space="preserve">8
</t>
  </si>
  <si>
    <t xml:space="preserve">10
</t>
  </si>
  <si>
    <t xml:space="preserve">12
S
</t>
  </si>
  <si>
    <t xml:space="preserve">14
</t>
  </si>
  <si>
    <r>
      <t xml:space="preserve">16
M
</t>
    </r>
    <r>
      <rPr>
        <b/>
        <sz val="9"/>
        <color rgb="FFFF0000"/>
        <rFont val="Arial"/>
        <family val="2"/>
      </rPr>
      <t>16</t>
    </r>
  </si>
  <si>
    <r>
      <t xml:space="preserve">18
</t>
    </r>
    <r>
      <rPr>
        <b/>
        <sz val="9"/>
        <color rgb="FFFF0000"/>
        <rFont val="Arial"/>
        <family val="2"/>
      </rPr>
      <t>18</t>
    </r>
  </si>
  <si>
    <r>
      <t xml:space="preserve">20
L
</t>
    </r>
    <r>
      <rPr>
        <b/>
        <sz val="9"/>
        <color rgb="FFFF0000"/>
        <rFont val="Arial"/>
        <family val="2"/>
      </rPr>
      <t>20</t>
    </r>
  </si>
  <si>
    <t xml:space="preserve">22
</t>
  </si>
  <si>
    <r>
      <t xml:space="preserve">24
XL
</t>
    </r>
    <r>
      <rPr>
        <b/>
        <sz val="9"/>
        <color rgb="FFFF0000"/>
        <rFont val="Arial"/>
        <family val="2"/>
      </rPr>
      <t>22-24</t>
    </r>
  </si>
  <si>
    <t xml:space="preserve">26
</t>
  </si>
  <si>
    <r>
      <t xml:space="preserve">28
XXL
</t>
    </r>
    <r>
      <rPr>
        <b/>
        <sz val="9"/>
        <color rgb="FFFF0000"/>
        <rFont val="Arial"/>
        <family val="2"/>
      </rPr>
      <t>26-28</t>
    </r>
  </si>
  <si>
    <t xml:space="preserve">30
</t>
  </si>
  <si>
    <r>
      <t xml:space="preserve">32
3XL
</t>
    </r>
    <r>
      <rPr>
        <b/>
        <sz val="9"/>
        <color rgb="FFFF0000"/>
        <rFont val="Arial"/>
        <family val="2"/>
      </rPr>
      <t>30-32</t>
    </r>
  </si>
  <si>
    <t xml:space="preserve">34
</t>
  </si>
  <si>
    <r>
      <t xml:space="preserve">36
4XL
</t>
    </r>
    <r>
      <rPr>
        <b/>
        <sz val="9"/>
        <color rgb="FFFF0000"/>
        <rFont val="Arial"/>
        <family val="2"/>
      </rPr>
      <t>34-36</t>
    </r>
  </si>
  <si>
    <t>Quantity</t>
  </si>
  <si>
    <t>Price</t>
  </si>
  <si>
    <t>Total Spent</t>
  </si>
  <si>
    <t>Packing method</t>
  </si>
  <si>
    <t>ETD</t>
  </si>
  <si>
    <t>Sleeve Length</t>
  </si>
  <si>
    <t>Shoulder pad</t>
  </si>
  <si>
    <t>Hanger foam</t>
  </si>
  <si>
    <t>Composition</t>
  </si>
  <si>
    <t>Lining</t>
  </si>
  <si>
    <t>Brand</t>
  </si>
  <si>
    <t>Swing ticket type</t>
  </si>
  <si>
    <t>Label extra</t>
  </si>
  <si>
    <t>Factory</t>
  </si>
  <si>
    <t>Store</t>
  </si>
  <si>
    <t>15 - Dec - 2025</t>
  </si>
  <si>
    <t>Rick Rack Detail Midi Dress</t>
  </si>
  <si>
    <t>Black</t>
  </si>
  <si>
    <t>01</t>
  </si>
  <si>
    <t>DR</t>
  </si>
  <si>
    <t>Boxed into w/h</t>
  </si>
  <si>
    <t>11-May-26</t>
  </si>
  <si>
    <t>3/4</t>
  </si>
  <si>
    <t>Roman</t>
  </si>
  <si>
    <t>Roman Standard</t>
  </si>
  <si>
    <t>Green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</si>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</sst>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sz val="16"/>
      <color rgb="FF00B0F0"/>
      <name val="Arial Rounded MT Bold"/>
      <family val="2"/>
    </font>
    <font>
      <b/>
      <sz val="9"/>
      <color rgb="FFFF000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EAF1DD"/>
        <bgColor rgb="FFFFFFFF"/>
      </patternFill>
    </fill>
    <fill>
      <patternFill patternType="solid">
        <fgColor rgb="FFDBE5F1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D6D4CA"/>
        <bgColor rgb="FFFFFFFF"/>
      </patternFill>
    </fill>
    <fill>
      <patternFill patternType="solid">
        <fgColor rgb="FFEFF9FF"/>
        <bgColor rgb="FFFFFFFF"/>
      </patternFill>
    </fill>
    <fill>
      <patternFill patternType="solid">
        <fgColor rgb="FFF2DBDB"/>
        <bgColor rgb="FFFFFFFF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0B0F0"/>
      </top>
      <bottom style="thin">
        <color rgb="FFBFBFBF"/>
      </bottom>
      <diagonal/>
    </border>
    <border>
      <left style="thin">
        <color rgb="FFBFBFBF"/>
      </left>
      <right/>
      <top style="medium">
        <color rgb="FF00B0F0"/>
      </top>
      <bottom style="thin">
        <color rgb="FFBFBFBF"/>
      </bottom>
      <diagonal/>
    </border>
    <border>
      <left/>
      <right/>
      <top style="medium">
        <color rgb="FF00B0F0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double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00B0F0"/>
      </top>
      <bottom style="thin">
        <color rgb="FFBFBFBF"/>
      </bottom>
      <diagonal/>
    </border>
    <border>
      <left/>
      <right style="thin">
        <color rgb="FFBFBFBF"/>
      </right>
      <top style="medium">
        <color rgb="FF00B0F0"/>
      </top>
      <bottom style="thin">
        <color rgb="FFBFBFBF"/>
      </bottom>
      <diagonal/>
    </border>
    <border>
      <left style="double">
        <color rgb="FFBFBFBF"/>
      </left>
      <right/>
      <top style="medium">
        <color rgb="FF00B0F0"/>
      </top>
      <bottom style="thin">
        <color rgb="FFBFBFBF"/>
      </bottom>
      <diagonal/>
    </border>
    <border>
      <left style="double">
        <color rgb="FFBFBFBF"/>
      </left>
      <right/>
      <top style="thin">
        <color rgb="FFBFBFBF"/>
      </top>
      <bottom style="thin">
        <color rgb="FFBFBFBF"/>
      </bottom>
      <diagonal/>
    </border>
    <border>
      <left style="double">
        <color rgb="FFBFBFBF"/>
      </left>
      <right style="thin">
        <color rgb="FFBFBFBF"/>
      </right>
      <top style="medium">
        <color rgb="FF00B0F0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medium">
        <color rgb="FF00B0F0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4" fontId="0" fillId="3" borderId="7" xfId="0" applyNumberFormat="1" applyFill="1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0" fontId="4" fillId="4" borderId="8" xfId="0" applyFont="1" applyFill="1" applyBorder="1"/>
    <xf numFmtId="0" fontId="4" fillId="5" borderId="8" xfId="0" applyFont="1" applyFill="1" applyBorder="1"/>
    <xf numFmtId="0" fontId="4" fillId="6" borderId="9" xfId="0" applyFont="1" applyFill="1" applyBorder="1"/>
    <xf numFmtId="0" fontId="4" fillId="7" borderId="8" xfId="0" applyFont="1" applyFill="1" applyBorder="1"/>
    <xf numFmtId="0" fontId="4" fillId="8" borderId="7" xfId="0" applyFont="1" applyFill="1" applyBorder="1" applyAlignment="1">
      <alignment horizontal="center" vertical="center" wrapText="1"/>
    </xf>
    <xf numFmtId="0" fontId="4" fillId="6" borderId="8" xfId="0" applyFont="1" applyFill="1" applyBorder="1"/>
    <xf numFmtId="0" fontId="0" fillId="2" borderId="7" xfId="0" applyFill="1" applyBorder="1" applyAlignment="1">
      <alignment horizontal="center" vertical="center" wrapText="1"/>
    </xf>
    <xf numFmtId="0" fontId="2" fillId="2" borderId="10" xfId="0" applyFont="1" applyFill="1" applyBorder="1"/>
    <xf numFmtId="0" fontId="5" fillId="2" borderId="10" xfId="0" applyFont="1" applyFill="1" applyBorder="1" applyAlignment="1">
      <alignment horizontal="center" vertical="center"/>
    </xf>
    <xf numFmtId="0" fontId="4" fillId="9" borderId="8" xfId="0" applyFont="1" applyFill="1" applyBorder="1"/>
    <xf numFmtId="0" fontId="4" fillId="8" borderId="1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4" fillId="9" borderId="9" xfId="0" applyFont="1" applyFill="1" applyBorder="1"/>
    <xf numFmtId="0" fontId="4" fillId="9" borderId="13" xfId="0" applyFont="1" applyFill="1" applyBorder="1"/>
    <xf numFmtId="0" fontId="4" fillId="9" borderId="14" xfId="0" applyFont="1" applyFill="1" applyBorder="1"/>
    <xf numFmtId="0" fontId="4" fillId="4" borderId="15" xfId="0" applyFont="1" applyFill="1" applyBorder="1"/>
    <xf numFmtId="0" fontId="4" fillId="8" borderId="16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4" fillId="6" borderId="17" xfId="0" applyFont="1" applyFill="1" applyBorder="1"/>
    <xf numFmtId="4" fontId="0" fillId="3" borderId="7" xfId="0" applyNumberForma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vertical="center"/>
    </xf>
    <xf numFmtId="3" fontId="6" fillId="2" borderId="0" xfId="0" applyNumberFormat="1" applyFont="1" applyFill="1" applyAlignment="1">
      <alignment horizontal="center" vertical="center"/>
    </xf>
    <xf numFmtId="4" fontId="6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38100</xdr:rowOff>
    </xdr:from>
    <xdr:ext cx="1371600" cy="457200"/>
    <xdr:pic>
      <xdr:nvPicPr>
        <xdr:cNvPr id="2" name="Picture 4294967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"/>
  <sheetViews>
    <sheetView tabSelected="1" topLeftCell="D1" workbookViewId="0">
      <selection activeCell="Y2" sqref="Y2:Z2"/>
    </sheetView>
  </sheetViews>
  <sheetFormatPr defaultColWidth="11.5703125" defaultRowHeight="13.5" customHeight="1" x14ac:dyDescent="0.2"/>
  <cols>
    <col min="1" max="1" width="13" style="2" customWidth="1"/>
    <col min="2" max="2" width="11.85546875" style="2" customWidth="1"/>
    <col min="3" max="3" width="17.7109375" style="2" customWidth="1"/>
    <col min="4" max="4" width="13.28515625" style="2" customWidth="1"/>
    <col min="5" max="5" width="12.42578125" style="2" customWidth="1"/>
    <col min="6" max="7" width="5.85546875" style="2" customWidth="1"/>
    <col min="8" max="8" width="7.85546875" style="2" customWidth="1"/>
    <col min="9" max="24" width="6.42578125" style="2" customWidth="1"/>
    <col min="25" max="25" width="9.42578125" style="2" customWidth="1"/>
    <col min="26" max="26" width="7.7109375" style="2" customWidth="1"/>
    <col min="27" max="27" width="11.7109375" style="2" customWidth="1"/>
    <col min="28" max="28" width="10.28515625" style="2" customWidth="1"/>
    <col min="29" max="29" width="13" style="2" customWidth="1"/>
    <col min="30" max="30" width="10.28515625" style="2" customWidth="1"/>
    <col min="31" max="31" width="8.140625" style="2" customWidth="1"/>
    <col min="32" max="32" width="7.140625" style="2" customWidth="1"/>
    <col min="33" max="34" width="11.5703125" style="2"/>
    <col min="35" max="35" width="1.42578125" style="2" customWidth="1"/>
    <col min="36" max="36" width="9.85546875" style="2" customWidth="1"/>
    <col min="37" max="37" width="11.5703125" style="2"/>
    <col min="38" max="38" width="8.28515625" style="2" customWidth="1"/>
    <col min="39" max="39" width="25.7109375" style="2" customWidth="1"/>
    <col min="40" max="40" width="7.85546875" style="2" customWidth="1"/>
    <col min="41" max="41" width="11.5703125" style="2"/>
  </cols>
  <sheetData>
    <row r="1" spans="1:40" ht="22.5" customHeight="1" x14ac:dyDescent="0.2">
      <c r="D1" s="39" t="s">
        <v>0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Y1" s="54" t="s">
        <v>1</v>
      </c>
      <c r="Z1" s="54"/>
      <c r="AA1" s="54"/>
      <c r="AB1" s="54"/>
    </row>
    <row r="2" spans="1:40" ht="22.5" customHeight="1" x14ac:dyDescent="0.2">
      <c r="A2" s="4"/>
      <c r="B2" s="4"/>
      <c r="C2" s="4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"/>
      <c r="S2" s="4"/>
      <c r="T2" s="4"/>
      <c r="U2" s="4"/>
      <c r="V2" s="4"/>
      <c r="W2" s="4"/>
      <c r="X2" s="5"/>
      <c r="Y2" s="44" t="s">
        <v>2</v>
      </c>
      <c r="Z2" s="45"/>
      <c r="AA2" s="21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spans="1:40" ht="7.5" customHeight="1" x14ac:dyDescent="0.2"/>
    <row r="4" spans="1:40" ht="15" customHeight="1" x14ac:dyDescent="0.2">
      <c r="A4" s="46" t="s">
        <v>3</v>
      </c>
      <c r="B4" s="47"/>
      <c r="C4" s="46" t="s">
        <v>4</v>
      </c>
      <c r="D4" s="50"/>
      <c r="E4" s="50"/>
      <c r="F4" s="51"/>
      <c r="G4" s="6" t="s">
        <v>5</v>
      </c>
      <c r="H4" s="46" t="s">
        <v>6</v>
      </c>
      <c r="I4" s="50"/>
      <c r="J4" s="50"/>
      <c r="K4" s="47"/>
      <c r="L4" s="46" t="s">
        <v>7</v>
      </c>
      <c r="M4" s="50"/>
      <c r="N4" s="50"/>
      <c r="O4" s="50"/>
      <c r="P4" s="50"/>
      <c r="Q4" s="47"/>
      <c r="R4" s="3" t="s">
        <v>8</v>
      </c>
      <c r="S4" s="46" t="s">
        <v>9</v>
      </c>
      <c r="T4" s="50"/>
      <c r="U4" s="50"/>
      <c r="V4" s="50"/>
      <c r="W4" s="50"/>
      <c r="X4" s="50"/>
      <c r="Y4" s="47"/>
      <c r="Z4" s="46" t="s">
        <v>10</v>
      </c>
      <c r="AA4" s="47"/>
      <c r="AB4" s="46" t="s">
        <v>11</v>
      </c>
      <c r="AC4" s="47"/>
    </row>
    <row r="5" spans="1:40" ht="20.25" customHeight="1" x14ac:dyDescent="0.2">
      <c r="A5" s="48" t="str">
        <f>Y2</f>
        <v>D579</v>
      </c>
      <c r="B5" s="49"/>
      <c r="C5" s="48" t="s">
        <v>12</v>
      </c>
      <c r="D5" s="52"/>
      <c r="E5" s="52"/>
      <c r="F5" s="53"/>
      <c r="G5" s="7" t="s">
        <v>13</v>
      </c>
      <c r="H5" s="48" t="s">
        <v>14</v>
      </c>
      <c r="I5" s="52"/>
      <c r="J5" s="52"/>
      <c r="K5" s="49"/>
      <c r="L5" s="48" t="s">
        <v>15</v>
      </c>
      <c r="M5" s="52"/>
      <c r="N5" s="52"/>
      <c r="O5" s="52"/>
      <c r="P5" s="52"/>
      <c r="Q5" s="49"/>
      <c r="R5" s="8" t="s">
        <v>16</v>
      </c>
      <c r="S5" s="48" t="s">
        <v>17</v>
      </c>
      <c r="T5" s="52"/>
      <c r="U5" s="52"/>
      <c r="V5" s="52"/>
      <c r="W5" s="52"/>
      <c r="X5" s="52"/>
      <c r="Y5" s="49"/>
      <c r="Z5" s="48"/>
      <c r="AA5" s="49"/>
      <c r="AB5" s="48" t="s">
        <v>18</v>
      </c>
      <c r="AC5" s="49"/>
    </row>
    <row r="6" spans="1:40" ht="7.5" customHeight="1" x14ac:dyDescent="0.2"/>
    <row r="7" spans="1:40" ht="13.5" customHeight="1" x14ac:dyDescent="0.2">
      <c r="A7" s="42" t="s">
        <v>19</v>
      </c>
      <c r="B7" s="13" t="s">
        <v>20</v>
      </c>
      <c r="C7" s="14" t="s">
        <v>21</v>
      </c>
      <c r="D7" s="14"/>
      <c r="E7" s="14"/>
      <c r="F7" s="14"/>
      <c r="G7" s="14"/>
      <c r="H7" s="14"/>
      <c r="I7" s="27" t="s">
        <v>22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9"/>
      <c r="Y7" s="14" t="s">
        <v>23</v>
      </c>
      <c r="Z7" s="14"/>
      <c r="AA7" s="14"/>
      <c r="AB7" s="15" t="s">
        <v>24</v>
      </c>
      <c r="AC7" s="15"/>
      <c r="AD7" s="16" t="s">
        <v>25</v>
      </c>
      <c r="AE7" s="16"/>
      <c r="AF7" s="16"/>
      <c r="AG7" s="16"/>
      <c r="AH7" s="16"/>
      <c r="AI7" s="22"/>
      <c r="AJ7" s="18"/>
      <c r="AK7" s="18"/>
      <c r="AL7" s="15"/>
      <c r="AM7" s="30"/>
      <c r="AN7" s="33"/>
    </row>
    <row r="8" spans="1:40" ht="36" customHeight="1" x14ac:dyDescent="0.2">
      <c r="A8" s="43"/>
      <c r="B8" s="17" t="s">
        <v>26</v>
      </c>
      <c r="C8" s="17" t="s">
        <v>27</v>
      </c>
      <c r="D8" s="17" t="s">
        <v>28</v>
      </c>
      <c r="E8" s="17" t="s">
        <v>29</v>
      </c>
      <c r="F8" s="17" t="s">
        <v>30</v>
      </c>
      <c r="G8" s="17" t="s">
        <v>31</v>
      </c>
      <c r="H8" s="17" t="s">
        <v>32</v>
      </c>
      <c r="I8" s="17" t="s">
        <v>33</v>
      </c>
      <c r="J8" s="17" t="s">
        <v>34</v>
      </c>
      <c r="K8" s="17" t="s">
        <v>35</v>
      </c>
      <c r="L8" s="17" t="s">
        <v>36</v>
      </c>
      <c r="M8" s="17" t="s">
        <v>37</v>
      </c>
      <c r="N8" s="17" t="s">
        <v>38</v>
      </c>
      <c r="O8" s="17" t="s">
        <v>39</v>
      </c>
      <c r="P8" s="17" t="s">
        <v>40</v>
      </c>
      <c r="Q8" s="17" t="s">
        <v>41</v>
      </c>
      <c r="R8" s="17" t="s">
        <v>42</v>
      </c>
      <c r="S8" s="17" t="s">
        <v>43</v>
      </c>
      <c r="T8" s="17" t="s">
        <v>44</v>
      </c>
      <c r="U8" s="17" t="s">
        <v>45</v>
      </c>
      <c r="V8" s="17" t="s">
        <v>46</v>
      </c>
      <c r="W8" s="17" t="s">
        <v>47</v>
      </c>
      <c r="X8" s="17" t="s">
        <v>48</v>
      </c>
      <c r="Y8" s="17" t="s">
        <v>49</v>
      </c>
      <c r="Z8" s="17" t="s">
        <v>50</v>
      </c>
      <c r="AA8" s="17" t="s">
        <v>51</v>
      </c>
      <c r="AB8" s="17" t="s">
        <v>52</v>
      </c>
      <c r="AC8" s="17" t="s">
        <v>53</v>
      </c>
      <c r="AD8" s="17" t="s">
        <v>54</v>
      </c>
      <c r="AE8" s="17" t="s">
        <v>55</v>
      </c>
      <c r="AF8" s="17" t="s">
        <v>56</v>
      </c>
      <c r="AG8" s="17" t="s">
        <v>57</v>
      </c>
      <c r="AH8" s="17" t="s">
        <v>58</v>
      </c>
      <c r="AI8" s="17"/>
      <c r="AJ8" s="17" t="s">
        <v>59</v>
      </c>
      <c r="AK8" s="17" t="s">
        <v>60</v>
      </c>
      <c r="AL8" s="23" t="s">
        <v>61</v>
      </c>
      <c r="AM8" s="31" t="s">
        <v>62</v>
      </c>
      <c r="AN8" s="25" t="s">
        <v>63</v>
      </c>
    </row>
    <row r="9" spans="1:40" ht="27" customHeight="1" x14ac:dyDescent="0.2">
      <c r="A9" s="9" t="s">
        <v>64</v>
      </c>
      <c r="B9" s="9"/>
      <c r="C9" s="55" t="s">
        <v>65</v>
      </c>
      <c r="D9" s="10" t="s">
        <v>66</v>
      </c>
      <c r="E9" s="9">
        <v>14936708</v>
      </c>
      <c r="F9" s="9"/>
      <c r="G9" s="9" t="s">
        <v>67</v>
      </c>
      <c r="H9" s="10" t="s">
        <v>68</v>
      </c>
      <c r="I9" s="10"/>
      <c r="J9" s="10"/>
      <c r="K9" s="10">
        <v>30</v>
      </c>
      <c r="L9" s="10">
        <v>55</v>
      </c>
      <c r="M9" s="10">
        <v>70</v>
      </c>
      <c r="N9" s="10">
        <v>65</v>
      </c>
      <c r="O9" s="10">
        <v>45</v>
      </c>
      <c r="P9" s="10">
        <v>35</v>
      </c>
      <c r="Q9" s="10"/>
      <c r="R9" s="10"/>
      <c r="S9" s="10"/>
      <c r="T9" s="10"/>
      <c r="U9" s="10"/>
      <c r="V9" s="10"/>
      <c r="W9" s="10"/>
      <c r="X9" s="10"/>
      <c r="Y9" s="10">
        <v>300</v>
      </c>
      <c r="Z9" s="11">
        <v>9.25</v>
      </c>
      <c r="AA9" s="11">
        <v>2775</v>
      </c>
      <c r="AB9" s="34" t="s">
        <v>69</v>
      </c>
      <c r="AC9" s="12" t="s">
        <v>70</v>
      </c>
      <c r="AD9" s="10" t="s">
        <v>71</v>
      </c>
      <c r="AE9" s="9"/>
      <c r="AF9" s="9"/>
      <c r="AG9" s="10"/>
      <c r="AH9" s="10"/>
      <c r="AI9" s="10"/>
      <c r="AJ9" s="19" t="s">
        <v>72</v>
      </c>
      <c r="AK9" s="19" t="s">
        <v>73</v>
      </c>
      <c r="AL9" s="24"/>
      <c r="AM9" s="32"/>
      <c r="AN9" s="26"/>
    </row>
    <row r="10" spans="1:40" ht="27" customHeight="1" x14ac:dyDescent="0.2">
      <c r="A10" s="9" t="s">
        <v>64</v>
      </c>
      <c r="B10" s="9"/>
      <c r="C10" s="10" t="s">
        <v>65</v>
      </c>
      <c r="D10" s="10" t="s">
        <v>74</v>
      </c>
      <c r="E10" s="9">
        <v>14936734</v>
      </c>
      <c r="F10" s="9"/>
      <c r="G10" s="9" t="s">
        <v>67</v>
      </c>
      <c r="H10" s="10" t="s">
        <v>68</v>
      </c>
      <c r="I10" s="10"/>
      <c r="J10" s="10"/>
      <c r="K10" s="10">
        <v>30</v>
      </c>
      <c r="L10" s="10">
        <v>55</v>
      </c>
      <c r="M10" s="10">
        <v>70</v>
      </c>
      <c r="N10" s="10">
        <v>65</v>
      </c>
      <c r="O10" s="10">
        <v>45</v>
      </c>
      <c r="P10" s="10">
        <v>35</v>
      </c>
      <c r="Q10" s="10"/>
      <c r="R10" s="10"/>
      <c r="S10" s="10"/>
      <c r="T10" s="10"/>
      <c r="U10" s="10"/>
      <c r="V10" s="10"/>
      <c r="W10" s="10"/>
      <c r="X10" s="10"/>
      <c r="Y10" s="10">
        <v>300</v>
      </c>
      <c r="Z10" s="11">
        <v>9.25</v>
      </c>
      <c r="AA10" s="11">
        <v>2775</v>
      </c>
      <c r="AB10" s="34" t="s">
        <v>69</v>
      </c>
      <c r="AC10" s="12" t="s">
        <v>70</v>
      </c>
      <c r="AD10" s="10" t="s">
        <v>71</v>
      </c>
      <c r="AE10" s="9"/>
      <c r="AF10" s="9"/>
      <c r="AG10" s="10"/>
      <c r="AH10" s="10"/>
      <c r="AI10" s="10"/>
      <c r="AJ10" s="19" t="s">
        <v>72</v>
      </c>
      <c r="AK10" s="19" t="s">
        <v>73</v>
      </c>
      <c r="AL10" s="24"/>
      <c r="AM10" s="32"/>
      <c r="AN10" s="26"/>
    </row>
    <row r="11" spans="1:40" ht="3" customHeight="1" x14ac:dyDescent="0.2"/>
    <row r="12" spans="1:40" ht="21" customHeight="1" x14ac:dyDescent="0.2">
      <c r="A12" s="35"/>
      <c r="B12" s="35"/>
      <c r="C12" s="36" t="s">
        <v>75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7">
        <f>SUM(Y9:Y10)</f>
        <v>600</v>
      </c>
      <c r="Z12" s="36"/>
      <c r="AA12" s="38">
        <f>SUM(AA9:AA10)</f>
        <v>5550</v>
      </c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</row>
    <row r="13" spans="1:40" ht="13.5" customHeight="1" x14ac:dyDescent="0.2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40" ht="13.5" customHeight="1" x14ac:dyDescent="0.2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40" ht="13.5" customHeight="1" x14ac:dyDescent="0.2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40" ht="13.5" customHeight="1" x14ac:dyDescent="0.2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</sheetData>
  <sheetProtection formatCells="0" formatColumns="0" formatRows="0" insertColumns="0" insertRows="0" insertHyperlinks="0" deleteColumns="0" deleteRows="0" sort="0" autoFilter="0" pivotTables="0"/>
  <mergeCells count="18">
    <mergeCell ref="AB4:AC4"/>
    <mergeCell ref="S5:Y5"/>
    <mergeCell ref="Z5:AA5"/>
    <mergeCell ref="AB5:AC5"/>
    <mergeCell ref="Y1:AB1"/>
    <mergeCell ref="D1:Q2"/>
    <mergeCell ref="A7:A8"/>
    <mergeCell ref="Y2:Z2"/>
    <mergeCell ref="A4:B4"/>
    <mergeCell ref="A5:B5"/>
    <mergeCell ref="C4:F4"/>
    <mergeCell ref="C5:F5"/>
    <mergeCell ref="H4:K4"/>
    <mergeCell ref="H5:K5"/>
    <mergeCell ref="L4:Q4"/>
    <mergeCell ref="L5:Q5"/>
    <mergeCell ref="S4:Y4"/>
    <mergeCell ref="Z4:AA4"/>
  </mergeCells>
  <pageMargins left="0.23622047244093999" right="0.19685039370078999" top="0.51181102362205" bottom="0.43307086614173002" header="0.31496062992126" footer="0.19685039370078999"/>
  <pageSetup paperSize="8" scale="58" fitToWidth="0" fitToHeight="0" orientation="landscape"/>
  <headerFooter>
    <oddFooter>&amp;L&amp;F&amp;C&amp;D - &amp;T&amp;RPage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Sharad Tiwari</cp:lastModifiedBy>
  <dcterms:created xsi:type="dcterms:W3CDTF">2011-12-16T11:33:46Z</dcterms:created>
  <dcterms:modified xsi:type="dcterms:W3CDTF">2026-05-01T09:47:53Z</dcterms:modified>
  <cp:category/>
</cp:coreProperties>
</file>