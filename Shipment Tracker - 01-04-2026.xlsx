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2026-2027/"/>
    </mc:Choice>
  </mc:AlternateContent>
  <xr:revisionPtr revIDLastSave="135" documentId="13_ncr:1_{318EE241-ABC5-4956-B424-EEF519D562F4}" xr6:coauthVersionLast="47" xr6:coauthVersionMax="47" xr10:uidLastSave="{A6E8E6CA-D8BC-4386-93DB-70F7BC653F59}"/>
  <bookViews>
    <workbookView xWindow="-120" yWindow="-120" windowWidth="20730" windowHeight="11040" tabRatio="591" xr2:uid="{00000000-000D-0000-FFFF-FFFF00000000}"/>
  </bookViews>
  <sheets>
    <sheet name="Shipment-01-04-2026" sheetId="5" r:id="rId1"/>
    <sheet name="Manual Inv No." sheetId="49" r:id="rId2"/>
    <sheet name="Vendor Payment sheet" sheetId="51" r:id="rId3"/>
    <sheet name="Booking Sheet-INDIAN ROBIN" sheetId="31" state="hidden" r:id="rId4"/>
    <sheet name="Booing -XLNC FASHIONS " sheetId="50" r:id="rId5"/>
    <sheet name="Booking-Crimson" sheetId="52" r:id="rId6"/>
  </sheets>
  <definedNames>
    <definedName name="_xlnm._FilterDatabase" localSheetId="0" hidden="1">'Shipment-01-04-2026'!$A$2:$KLA$31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2" l="1"/>
  <c r="L14" i="52"/>
  <c r="K14" i="52"/>
  <c r="H14" i="52"/>
  <c r="G14" i="52"/>
  <c r="N13" i="52"/>
  <c r="J13" i="52"/>
  <c r="N12" i="52"/>
  <c r="N14" i="52" s="1"/>
  <c r="J12" i="52"/>
  <c r="J14" i="52" s="1"/>
  <c r="M50" i="50"/>
  <c r="L50" i="50"/>
  <c r="K50" i="50"/>
  <c r="H50" i="50"/>
  <c r="G50" i="50"/>
  <c r="N49" i="50"/>
  <c r="N50" i="50" s="1"/>
  <c r="J49" i="50"/>
  <c r="J50" i="50" s="1"/>
  <c r="G15" i="51"/>
  <c r="G14" i="51"/>
  <c r="AD3" i="5"/>
  <c r="AI3" i="5"/>
  <c r="AI11" i="5"/>
  <c r="AI10" i="5"/>
  <c r="AI9" i="5"/>
  <c r="AI8" i="5"/>
  <c r="AI7" i="5"/>
  <c r="AI6" i="5"/>
  <c r="AI4" i="5"/>
  <c r="AI5" i="5"/>
  <c r="AE5" i="5"/>
  <c r="AE4" i="5"/>
  <c r="N4" i="52" l="1"/>
  <c r="N3" i="52"/>
  <c r="N5" i="52"/>
  <c r="M5" i="52"/>
  <c r="L5" i="52"/>
  <c r="K5" i="52"/>
  <c r="H5" i="52"/>
  <c r="G5" i="52"/>
  <c r="J4" i="52"/>
  <c r="J3" i="52"/>
  <c r="J5" i="52" l="1"/>
  <c r="AL3" i="5" l="1"/>
  <c r="AK3" i="5"/>
  <c r="AH3" i="5"/>
  <c r="AE3" i="5"/>
  <c r="U3" i="5"/>
  <c r="T3" i="5"/>
  <c r="Q3" i="5"/>
  <c r="AD27" i="5" l="1"/>
  <c r="AD26" i="5"/>
  <c r="AD25" i="5"/>
  <c r="U27" i="5"/>
  <c r="T27" i="5"/>
  <c r="Q27" i="5"/>
  <c r="U26" i="5"/>
  <c r="T26" i="5"/>
  <c r="Q26" i="5"/>
  <c r="Q25" i="5"/>
  <c r="Q24" i="5"/>
  <c r="Q23" i="5"/>
  <c r="AI20" i="5"/>
  <c r="AI19" i="5"/>
  <c r="AI18" i="5"/>
  <c r="AI17" i="5"/>
  <c r="AI16" i="5"/>
  <c r="AI15" i="5"/>
  <c r="AI14" i="5"/>
  <c r="AI13" i="5"/>
  <c r="AI12" i="5"/>
  <c r="AL21" i="5" l="1"/>
  <c r="AL20" i="5"/>
  <c r="AL19" i="5"/>
  <c r="AL18" i="5"/>
  <c r="AL17" i="5"/>
  <c r="AL16" i="5"/>
  <c r="AL15" i="5"/>
  <c r="AL14" i="5"/>
  <c r="AK16" i="5" l="1"/>
  <c r="G12" i="51"/>
  <c r="G4" i="51"/>
  <c r="G3" i="51"/>
  <c r="M42" i="50"/>
  <c r="L42" i="50"/>
  <c r="K42" i="50"/>
  <c r="H42" i="50"/>
  <c r="G42" i="50"/>
  <c r="N41" i="50"/>
  <c r="J41" i="50"/>
  <c r="J42" i="50" s="1"/>
  <c r="N42" i="50"/>
  <c r="G13" i="51" l="1"/>
  <c r="G5" i="51"/>
  <c r="N12" i="31"/>
  <c r="J12" i="31"/>
  <c r="N11" i="31"/>
  <c r="J11" i="31"/>
  <c r="AK20" i="5"/>
  <c r="AH20" i="5"/>
  <c r="AD20" i="5"/>
  <c r="AE20" i="5" s="1"/>
  <c r="U20" i="5"/>
  <c r="T20" i="5"/>
  <c r="Q20" i="5"/>
  <c r="AK19" i="5"/>
  <c r="AH19" i="5"/>
  <c r="AD19" i="5"/>
  <c r="AE19" i="5" s="1"/>
  <c r="U19" i="5"/>
  <c r="T19" i="5"/>
  <c r="Q19" i="5"/>
  <c r="AL9" i="5"/>
  <c r="AL13" i="5"/>
  <c r="AL12" i="5"/>
  <c r="AL11" i="5"/>
  <c r="AL10" i="5"/>
  <c r="G6" i="51" l="1"/>
  <c r="G7" i="51" s="1"/>
  <c r="N32" i="50"/>
  <c r="J32" i="50"/>
  <c r="M34" i="50"/>
  <c r="L34" i="50"/>
  <c r="K34" i="50"/>
  <c r="H34" i="50"/>
  <c r="G34" i="50"/>
  <c r="N33" i="50"/>
  <c r="J33" i="50"/>
  <c r="N31" i="50"/>
  <c r="J31" i="50"/>
  <c r="AK15" i="5"/>
  <c r="AD16" i="5"/>
  <c r="AE16" i="5" s="1"/>
  <c r="AD15" i="5"/>
  <c r="AE15" i="5" s="1"/>
  <c r="AH16" i="5"/>
  <c r="Q15" i="5"/>
  <c r="J34" i="50" l="1"/>
  <c r="N34" i="50"/>
  <c r="AH15" i="5"/>
  <c r="U16" i="5" l="1"/>
  <c r="T16" i="5"/>
  <c r="Q16" i="5"/>
  <c r="U15" i="5"/>
  <c r="T15" i="5"/>
  <c r="AL5" i="5" l="1"/>
  <c r="AD24" i="5"/>
  <c r="AD23" i="5"/>
  <c r="AD22" i="5"/>
  <c r="AD21" i="5"/>
  <c r="AD18" i="5"/>
  <c r="AD17" i="5"/>
  <c r="AD14" i="5"/>
  <c r="AD13" i="5"/>
  <c r="AD12" i="5"/>
  <c r="AD11" i="5"/>
  <c r="AD10" i="5"/>
  <c r="AE10" i="5" s="1"/>
  <c r="AD9" i="5"/>
  <c r="AE9" i="5" s="1"/>
  <c r="AD8" i="5"/>
  <c r="AE8" i="5" s="1"/>
  <c r="AD7" i="5"/>
  <c r="AE7" i="5" s="1"/>
  <c r="AD6" i="5"/>
  <c r="AE6" i="5" s="1"/>
  <c r="AD5" i="5"/>
  <c r="AD4" i="5"/>
  <c r="AL8" i="5"/>
  <c r="AL7" i="5"/>
  <c r="AL6" i="5"/>
  <c r="AL4" i="5"/>
  <c r="AK17" i="5"/>
  <c r="AK14" i="5"/>
  <c r="AK21" i="5" l="1"/>
  <c r="AI21" i="5"/>
  <c r="AE17" i="5"/>
  <c r="AE14" i="5"/>
  <c r="AH31" i="5" l="1"/>
  <c r="AH30" i="5"/>
  <c r="AH29" i="5"/>
  <c r="AH28" i="5"/>
  <c r="AH27" i="5"/>
  <c r="AH26" i="5"/>
  <c r="AH25" i="5"/>
  <c r="AH24" i="5"/>
  <c r="AH23" i="5"/>
  <c r="AH22" i="5"/>
  <c r="AH21" i="5"/>
  <c r="AH18" i="5"/>
  <c r="AH17" i="5"/>
  <c r="AH14" i="5"/>
  <c r="AH13" i="5"/>
  <c r="AH12" i="5"/>
  <c r="AH11" i="5"/>
  <c r="AH10" i="5"/>
  <c r="AH9" i="5"/>
  <c r="AH8" i="5"/>
  <c r="AH7" i="5"/>
  <c r="AH6" i="5"/>
  <c r="AH5" i="5"/>
  <c r="AH4" i="5"/>
  <c r="AK5" i="5"/>
  <c r="N10" i="31"/>
  <c r="N13" i="31" s="1"/>
  <c r="M13" i="31"/>
  <c r="L13" i="31"/>
  <c r="K13" i="31"/>
  <c r="H13" i="31"/>
  <c r="G13" i="31"/>
  <c r="J10" i="31"/>
  <c r="J13" i="31" s="1"/>
  <c r="AK18" i="5" l="1"/>
  <c r="AE18" i="5"/>
  <c r="U18" i="5"/>
  <c r="T18" i="5"/>
  <c r="Q18" i="5"/>
  <c r="M25" i="50"/>
  <c r="L25" i="50"/>
  <c r="K25" i="50"/>
  <c r="H25" i="50"/>
  <c r="G25" i="50"/>
  <c r="N24" i="50"/>
  <c r="J24" i="50"/>
  <c r="N23" i="50"/>
  <c r="J23" i="50"/>
  <c r="J25" i="50" l="1"/>
  <c r="N25" i="50"/>
  <c r="AK11" i="5" l="1"/>
  <c r="AK10" i="5"/>
  <c r="AK13" i="5"/>
  <c r="AK12" i="5"/>
  <c r="AE11" i="5"/>
  <c r="AE13" i="5"/>
  <c r="AE12" i="5"/>
  <c r="N16" i="50"/>
  <c r="N15" i="50"/>
  <c r="N14" i="50"/>
  <c r="N13" i="50"/>
  <c r="J15" i="50"/>
  <c r="U25" i="5" l="1"/>
  <c r="U24" i="5"/>
  <c r="U23" i="5"/>
  <c r="U22" i="5"/>
  <c r="U21" i="5"/>
  <c r="T25" i="5"/>
  <c r="T24" i="5"/>
  <c r="T23" i="5"/>
  <c r="T22" i="5"/>
  <c r="T21" i="5"/>
  <c r="T17" i="5"/>
  <c r="T14" i="5"/>
  <c r="T11" i="5"/>
  <c r="T10" i="5"/>
  <c r="N17" i="50" l="1"/>
  <c r="M17" i="50"/>
  <c r="L17" i="50"/>
  <c r="K17" i="50"/>
  <c r="H17" i="50"/>
  <c r="G17" i="50"/>
  <c r="J16" i="50"/>
  <c r="J14" i="50"/>
  <c r="J13" i="50"/>
  <c r="J4" i="50"/>
  <c r="J17" i="50" l="1"/>
  <c r="N6" i="50"/>
  <c r="M6" i="50"/>
  <c r="L6" i="50"/>
  <c r="K6" i="50"/>
  <c r="H6" i="50"/>
  <c r="G6" i="50"/>
  <c r="J5" i="50"/>
  <c r="J3" i="50"/>
  <c r="J4" i="31"/>
  <c r="J5" i="31" s="1"/>
  <c r="J3" i="31"/>
  <c r="J6" i="50" l="1"/>
  <c r="G5" i="31"/>
  <c r="H5" i="31"/>
  <c r="K5" i="31"/>
  <c r="L5" i="31"/>
  <c r="M5" i="31"/>
  <c r="N5" i="31"/>
  <c r="AK9" i="5"/>
  <c r="AK8" i="5"/>
  <c r="AK7" i="5"/>
  <c r="AK6" i="5"/>
  <c r="AK4" i="5"/>
  <c r="U17" i="5"/>
  <c r="U14" i="5"/>
  <c r="U11" i="5"/>
  <c r="U10" i="5"/>
  <c r="U13" i="5"/>
  <c r="U12" i="5"/>
  <c r="U9" i="5"/>
  <c r="U8" i="5"/>
  <c r="U7" i="5"/>
  <c r="U6" i="5"/>
  <c r="T13" i="5"/>
  <c r="T12" i="5"/>
  <c r="T9" i="5"/>
  <c r="T8" i="5"/>
  <c r="T7" i="5"/>
  <c r="T6" i="5"/>
  <c r="Q22" i="5"/>
  <c r="Q21" i="5"/>
  <c r="Q17" i="5"/>
  <c r="Q14" i="5"/>
  <c r="Q11" i="5"/>
  <c r="Q10" i="5"/>
  <c r="Q13" i="5"/>
  <c r="Q12" i="5"/>
  <c r="Q9" i="5"/>
  <c r="Q8" i="5"/>
  <c r="Q7" i="5"/>
  <c r="Q6" i="5"/>
  <c r="T5" i="5" l="1"/>
  <c r="U4" i="5"/>
  <c r="T4" i="5"/>
  <c r="Q4" i="5"/>
  <c r="X13" i="31" l="1"/>
  <c r="U5" i="5" l="1"/>
  <c r="Q5" i="5"/>
  <c r="Y6" i="31" l="1"/>
  <c r="Z6" i="31" s="1"/>
  <c r="Y3" i="31"/>
  <c r="AA3" i="31"/>
  <c r="AD3" i="31" s="1"/>
  <c r="W3" i="31"/>
  <c r="U322" i="5"/>
  <c r="AL322" i="5"/>
  <c r="AK322" i="5"/>
  <c r="AI322" i="5"/>
  <c r="AH322" i="5"/>
  <c r="AD322" i="5"/>
  <c r="AE322" i="5" s="1"/>
  <c r="T322" i="5"/>
  <c r="Q322" i="5"/>
  <c r="AK321" i="5"/>
  <c r="AD310" i="5"/>
  <c r="AE310" i="5" s="1"/>
  <c r="AL310" i="5"/>
  <c r="AK310" i="5"/>
  <c r="AI310" i="5"/>
  <c r="AH310" i="5"/>
  <c r="U310" i="5"/>
  <c r="T310" i="5"/>
  <c r="Q310" i="5"/>
  <c r="AL309" i="5"/>
  <c r="AK309" i="5"/>
  <c r="AI309" i="5"/>
  <c r="AH309" i="5"/>
  <c r="AD309" i="5"/>
  <c r="AE309" i="5" s="1"/>
  <c r="U309" i="5"/>
  <c r="T309" i="5"/>
  <c r="Q309" i="5"/>
  <c r="T308" i="5"/>
  <c r="T307" i="5"/>
  <c r="T261" i="5"/>
  <c r="AL281" i="5"/>
  <c r="AK281" i="5"/>
  <c r="AI281" i="5"/>
  <c r="AH281" i="5"/>
  <c r="AD281" i="5"/>
  <c r="AE281" i="5" s="1"/>
  <c r="AL280" i="5"/>
  <c r="AK280" i="5"/>
  <c r="AI280" i="5"/>
  <c r="AH280" i="5"/>
  <c r="AD280" i="5"/>
  <c r="AE280" i="5" s="1"/>
  <c r="U281" i="5"/>
  <c r="T281" i="5"/>
  <c r="Q281" i="5"/>
  <c r="U280" i="5"/>
  <c r="T280" i="5"/>
  <c r="Q280" i="5"/>
  <c r="AL305" i="5"/>
  <c r="AK305" i="5"/>
  <c r="AI305" i="5"/>
  <c r="AH305" i="5"/>
  <c r="AL304" i="5"/>
  <c r="AK304" i="5"/>
  <c r="AI304" i="5"/>
  <c r="AH304" i="5"/>
  <c r="AL303" i="5"/>
  <c r="AK303" i="5"/>
  <c r="AI303" i="5"/>
  <c r="AH303" i="5"/>
  <c r="AL302" i="5"/>
  <c r="AK302" i="5"/>
  <c r="AI302" i="5"/>
  <c r="AH302" i="5"/>
  <c r="AL301" i="5"/>
  <c r="AK301" i="5"/>
  <c r="AI301" i="5"/>
  <c r="AH301" i="5"/>
  <c r="AL300" i="5"/>
  <c r="AK300" i="5"/>
  <c r="AI300" i="5"/>
  <c r="AH300" i="5"/>
  <c r="AL299" i="5"/>
  <c r="AK299" i="5"/>
  <c r="AI299" i="5"/>
  <c r="AH299" i="5"/>
  <c r="AL298" i="5"/>
  <c r="AK298" i="5"/>
  <c r="AI298" i="5"/>
  <c r="AH298" i="5"/>
  <c r="AL297" i="5"/>
  <c r="AK297" i="5"/>
  <c r="AI297" i="5"/>
  <c r="AH297" i="5"/>
  <c r="AL296" i="5"/>
  <c r="AK296" i="5"/>
  <c r="AI296" i="5"/>
  <c r="AH296" i="5"/>
  <c r="AL295" i="5"/>
  <c r="AK295" i="5"/>
  <c r="AI295" i="5"/>
  <c r="AH295" i="5"/>
  <c r="AL294" i="5"/>
  <c r="AK294" i="5"/>
  <c r="AI294" i="5"/>
  <c r="AH294" i="5"/>
  <c r="AD294" i="5"/>
  <c r="AE294" i="5" s="1"/>
  <c r="U294" i="5"/>
  <c r="T294" i="5"/>
  <c r="Q294" i="5"/>
  <c r="AL293" i="5"/>
  <c r="AK293" i="5"/>
  <c r="AI293" i="5"/>
  <c r="AH293" i="5"/>
  <c r="AD293" i="5"/>
  <c r="AE293" i="5" s="1"/>
  <c r="U293" i="5"/>
  <c r="T293" i="5"/>
  <c r="Q293" i="5"/>
  <c r="AD285" i="5"/>
  <c r="AE285" i="5" s="1"/>
  <c r="AD292" i="5"/>
  <c r="AE292" i="5" s="1"/>
  <c r="AD291" i="5"/>
  <c r="AE291" i="5" s="1"/>
  <c r="AD290" i="5"/>
  <c r="AE290" i="5" s="1"/>
  <c r="AD289" i="5"/>
  <c r="AE289" i="5" s="1"/>
  <c r="AD288" i="5"/>
  <c r="AE288" i="5" s="1"/>
  <c r="AD287" i="5"/>
  <c r="AE287" i="5" s="1"/>
  <c r="AD286" i="5"/>
  <c r="AE286" i="5" s="1"/>
  <c r="AD267" i="5"/>
  <c r="AE267" i="5" s="1"/>
  <c r="AL260" i="5"/>
  <c r="AK260" i="5"/>
  <c r="AI260" i="5"/>
  <c r="AD260" i="5"/>
  <c r="AE260" i="5" s="1"/>
  <c r="T260" i="5"/>
  <c r="Q260" i="5"/>
  <c r="U260" i="5"/>
  <c r="AH260" i="5"/>
  <c r="AL263" i="5"/>
  <c r="AK263" i="5"/>
  <c r="AI263" i="5"/>
  <c r="AH263" i="5"/>
  <c r="AD263" i="5"/>
  <c r="AE263" i="5" s="1"/>
  <c r="U263" i="5"/>
  <c r="T263" i="5"/>
  <c r="Q263" i="5"/>
  <c r="AK283" i="5"/>
  <c r="AL269" i="5"/>
  <c r="AK269" i="5"/>
  <c r="AI269" i="5"/>
  <c r="AH269" i="5"/>
  <c r="AD269" i="5"/>
  <c r="AE269" i="5" s="1"/>
  <c r="U269" i="5"/>
  <c r="T269" i="5"/>
  <c r="Q269" i="5"/>
  <c r="AL268" i="5"/>
  <c r="AK268" i="5"/>
  <c r="AI268" i="5"/>
  <c r="AH268" i="5"/>
  <c r="AD268" i="5"/>
  <c r="AE268" i="5" s="1"/>
  <c r="U268" i="5"/>
  <c r="T268" i="5"/>
  <c r="Q268" i="5"/>
  <c r="AL267" i="5"/>
  <c r="AK267" i="5"/>
  <c r="AI267" i="5"/>
  <c r="AH267" i="5"/>
  <c r="U267" i="5"/>
  <c r="T267" i="5"/>
  <c r="Q267" i="5"/>
  <c r="AL266" i="5"/>
  <c r="AK266" i="5"/>
  <c r="AI266" i="5"/>
  <c r="AH266" i="5"/>
  <c r="AD266" i="5"/>
  <c r="AE266" i="5" s="1"/>
  <c r="U266" i="5"/>
  <c r="T266" i="5"/>
  <c r="Q266" i="5"/>
  <c r="AL265" i="5"/>
  <c r="AK265" i="5"/>
  <c r="AI265" i="5"/>
  <c r="AH265" i="5"/>
  <c r="AD265" i="5"/>
  <c r="AE265" i="5" s="1"/>
  <c r="U265" i="5"/>
  <c r="T265" i="5"/>
  <c r="Q265" i="5"/>
  <c r="AL262" i="5"/>
  <c r="AK262" i="5"/>
  <c r="AI262" i="5"/>
  <c r="AH262" i="5"/>
  <c r="AD262" i="5"/>
  <c r="AE262" i="5" s="1"/>
  <c r="U262" i="5"/>
  <c r="T262" i="5"/>
  <c r="Q262" i="5"/>
  <c r="AH251" i="5"/>
  <c r="AK225" i="5"/>
  <c r="AL240" i="5"/>
  <c r="AK240" i="5"/>
  <c r="AI240" i="5"/>
  <c r="AH240" i="5"/>
  <c r="AD240" i="5"/>
  <c r="AE240" i="5" s="1"/>
  <c r="U240" i="5"/>
  <c r="T240" i="5"/>
  <c r="Q240" i="5"/>
  <c r="AL239" i="5"/>
  <c r="AK239" i="5"/>
  <c r="AI239" i="5"/>
  <c r="AH239" i="5"/>
  <c r="AD239" i="5"/>
  <c r="AE239" i="5" s="1"/>
  <c r="U239" i="5"/>
  <c r="T239" i="5"/>
  <c r="Q239" i="5"/>
  <c r="AL251" i="5"/>
  <c r="AK251" i="5"/>
  <c r="AI251" i="5"/>
  <c r="AD251" i="5"/>
  <c r="AE251" i="5" s="1"/>
  <c r="U251" i="5"/>
  <c r="T251" i="5"/>
  <c r="Q251" i="5"/>
  <c r="AL250" i="5"/>
  <c r="AK250" i="5"/>
  <c r="AI250" i="5"/>
  <c r="AH250" i="5"/>
  <c r="AD250" i="5"/>
  <c r="AE250" i="5" s="1"/>
  <c r="U250" i="5"/>
  <c r="T250" i="5"/>
  <c r="Q250" i="5"/>
  <c r="Q242" i="5"/>
  <c r="AD235" i="5"/>
  <c r="AE235" i="5" s="1"/>
  <c r="AL238" i="5"/>
  <c r="AK238" i="5"/>
  <c r="AI238" i="5"/>
  <c r="AH238" i="5"/>
  <c r="AD238" i="5"/>
  <c r="AE238" i="5" s="1"/>
  <c r="U238" i="5"/>
  <c r="T238" i="5"/>
  <c r="Q238" i="5"/>
  <c r="AL237" i="5"/>
  <c r="AK237" i="5"/>
  <c r="AI237" i="5"/>
  <c r="AH237" i="5"/>
  <c r="AD237" i="5"/>
  <c r="AE237" i="5" s="1"/>
  <c r="U237" i="5"/>
  <c r="T237" i="5"/>
  <c r="Q237" i="5"/>
  <c r="AL236" i="5"/>
  <c r="AK236" i="5"/>
  <c r="AI236" i="5"/>
  <c r="AH236" i="5"/>
  <c r="AD236" i="5"/>
  <c r="AE236" i="5" s="1"/>
  <c r="U236" i="5"/>
  <c r="T236" i="5"/>
  <c r="Q236" i="5"/>
  <c r="AL235" i="5"/>
  <c r="AK235" i="5"/>
  <c r="AI235" i="5"/>
  <c r="AH235" i="5"/>
  <c r="U235" i="5"/>
  <c r="T235" i="5"/>
  <c r="Q235" i="5"/>
  <c r="AL234" i="5"/>
  <c r="AK234" i="5"/>
  <c r="AI234" i="5"/>
  <c r="AH234" i="5"/>
  <c r="AD234" i="5"/>
  <c r="AE234" i="5" s="1"/>
  <c r="U234" i="5"/>
  <c r="T234" i="5"/>
  <c r="Q234" i="5"/>
  <c r="AL233" i="5"/>
  <c r="AK233" i="5"/>
  <c r="AI233" i="5"/>
  <c r="AH233" i="5"/>
  <c r="AD233" i="5"/>
  <c r="AE233" i="5" s="1"/>
  <c r="U233" i="5"/>
  <c r="T233" i="5"/>
  <c r="Q233" i="5"/>
  <c r="AL231" i="5"/>
  <c r="AK231" i="5"/>
  <c r="AI231" i="5"/>
  <c r="AH231" i="5"/>
  <c r="AD231" i="5"/>
  <c r="AE231" i="5" s="1"/>
  <c r="U231" i="5"/>
  <c r="T231" i="5"/>
  <c r="Q231" i="5"/>
  <c r="AD216" i="5"/>
  <c r="AE216" i="5" s="1"/>
  <c r="AD215" i="5"/>
  <c r="AE215" i="5" s="1"/>
  <c r="AL216" i="5"/>
  <c r="AK216" i="5"/>
  <c r="AI216" i="5"/>
  <c r="AH216" i="5"/>
  <c r="U216" i="5"/>
  <c r="T216" i="5"/>
  <c r="Q216" i="5"/>
  <c r="AL215" i="5"/>
  <c r="AK215" i="5"/>
  <c r="AI215" i="5"/>
  <c r="AH215" i="5"/>
  <c r="U215" i="5"/>
  <c r="T215" i="5"/>
  <c r="Q215" i="5"/>
  <c r="AL214" i="5"/>
  <c r="AK214" i="5"/>
  <c r="AI214" i="5"/>
  <c r="AH214" i="5"/>
  <c r="AD214" i="5"/>
  <c r="AE214" i="5" s="1"/>
  <c r="U214" i="5"/>
  <c r="T214" i="5"/>
  <c r="Q214" i="5"/>
  <c r="M1" i="5"/>
  <c r="AL523" i="5"/>
  <c r="AK523" i="5"/>
  <c r="AI523" i="5"/>
  <c r="AH523" i="5"/>
  <c r="AD523" i="5"/>
  <c r="AE523" i="5" s="1"/>
  <c r="U523" i="5"/>
  <c r="T523" i="5"/>
  <c r="Q523" i="5"/>
  <c r="U522" i="5"/>
  <c r="Q522" i="5"/>
  <c r="AL522" i="5"/>
  <c r="AK522" i="5"/>
  <c r="AI522" i="5"/>
  <c r="AH522" i="5"/>
  <c r="AL521" i="5"/>
  <c r="AK521" i="5"/>
  <c r="AI521" i="5"/>
  <c r="AH521" i="5"/>
  <c r="AL520" i="5"/>
  <c r="AK520" i="5"/>
  <c r="AI520" i="5"/>
  <c r="AH520" i="5"/>
  <c r="AL519" i="5"/>
  <c r="AK519" i="5"/>
  <c r="AI519" i="5"/>
  <c r="AH519" i="5"/>
  <c r="AL518" i="5"/>
  <c r="AK518" i="5"/>
  <c r="AI518" i="5"/>
  <c r="AH518" i="5"/>
  <c r="AL517" i="5"/>
  <c r="AK517" i="5"/>
  <c r="AI517" i="5"/>
  <c r="AH517" i="5"/>
  <c r="AL516" i="5"/>
  <c r="AK516" i="5"/>
  <c r="AI516" i="5"/>
  <c r="AH516" i="5"/>
  <c r="AL515" i="5"/>
  <c r="AK515" i="5"/>
  <c r="AI515" i="5"/>
  <c r="AH515" i="5"/>
  <c r="AL514" i="5"/>
  <c r="AK514" i="5"/>
  <c r="AI514" i="5"/>
  <c r="AH514" i="5"/>
  <c r="AL513" i="5"/>
  <c r="AK513" i="5"/>
  <c r="AI513" i="5"/>
  <c r="AH513" i="5"/>
  <c r="AL512" i="5"/>
  <c r="AK512" i="5"/>
  <c r="AI512" i="5"/>
  <c r="AH512" i="5"/>
  <c r="AE531" i="5"/>
  <c r="AE530" i="5"/>
  <c r="AE529" i="5"/>
  <c r="AE528" i="5"/>
  <c r="AE527" i="5"/>
  <c r="AE526" i="5"/>
  <c r="AE525" i="5"/>
  <c r="AE524" i="5"/>
  <c r="AE522" i="5"/>
  <c r="AD521" i="5"/>
  <c r="AE521" i="5" s="1"/>
  <c r="AD520" i="5"/>
  <c r="AE520" i="5" s="1"/>
  <c r="AD519" i="5"/>
  <c r="AE519" i="5" s="1"/>
  <c r="AD518" i="5"/>
  <c r="AE518" i="5" s="1"/>
  <c r="AD517" i="5"/>
  <c r="AE517" i="5" s="1"/>
  <c r="AD516" i="5"/>
  <c r="AE516" i="5" s="1"/>
  <c r="AD515" i="5"/>
  <c r="AE515" i="5" s="1"/>
  <c r="AD514" i="5"/>
  <c r="AE514" i="5" s="1"/>
  <c r="AD513" i="5"/>
  <c r="AE513" i="5" s="1"/>
  <c r="T522" i="5"/>
  <c r="T521" i="5"/>
  <c r="T520" i="5"/>
  <c r="T519" i="5"/>
  <c r="T518" i="5"/>
  <c r="T517" i="5"/>
  <c r="T516" i="5"/>
  <c r="T515" i="5"/>
  <c r="T514" i="5"/>
  <c r="T513" i="5"/>
  <c r="T512" i="5"/>
  <c r="U521" i="5"/>
  <c r="U520" i="5"/>
  <c r="U519" i="5"/>
  <c r="U518" i="5"/>
  <c r="U517" i="5"/>
  <c r="U516" i="5"/>
  <c r="U515" i="5"/>
  <c r="U514" i="5"/>
  <c r="U513" i="5"/>
  <c r="AD512" i="5"/>
  <c r="AE512" i="5" s="1"/>
  <c r="U512" i="5"/>
  <c r="Q521" i="5"/>
  <c r="Q520" i="5"/>
  <c r="Q519" i="5"/>
  <c r="Q518" i="5"/>
  <c r="Q517" i="5"/>
  <c r="Q516" i="5"/>
  <c r="Q515" i="5"/>
  <c r="Q514" i="5"/>
  <c r="Q513" i="5"/>
  <c r="Q512" i="5"/>
  <c r="AL511" i="5"/>
  <c r="AK511" i="5"/>
  <c r="AI511" i="5"/>
  <c r="AH511" i="5"/>
  <c r="AL510" i="5"/>
  <c r="AK510" i="5"/>
  <c r="AI510" i="5"/>
  <c r="AH510" i="5"/>
  <c r="AL509" i="5"/>
  <c r="AK509" i="5"/>
  <c r="AI509" i="5"/>
  <c r="AH509" i="5"/>
  <c r="AL508" i="5"/>
  <c r="AK508" i="5"/>
  <c r="AI508" i="5"/>
  <c r="AH508" i="5"/>
  <c r="AL507" i="5"/>
  <c r="AK507" i="5"/>
  <c r="AI507" i="5"/>
  <c r="AH507" i="5"/>
  <c r="AL506" i="5"/>
  <c r="AK506" i="5"/>
  <c r="AI506" i="5"/>
  <c r="AH506" i="5"/>
  <c r="AL505" i="5"/>
  <c r="AK505" i="5"/>
  <c r="AI505" i="5"/>
  <c r="AH505" i="5"/>
  <c r="AL504" i="5"/>
  <c r="AK504" i="5"/>
  <c r="AI504" i="5"/>
  <c r="AH504" i="5"/>
  <c r="AL503" i="5"/>
  <c r="AK503" i="5"/>
  <c r="AI503" i="5"/>
  <c r="AH503" i="5"/>
  <c r="AL502" i="5"/>
  <c r="AK502" i="5"/>
  <c r="AI502" i="5"/>
  <c r="AH502" i="5"/>
  <c r="AL501" i="5"/>
  <c r="AK501" i="5"/>
  <c r="AI501" i="5"/>
  <c r="AH501" i="5"/>
  <c r="AL500" i="5"/>
  <c r="AK500" i="5"/>
  <c r="AI500" i="5"/>
  <c r="AH500" i="5"/>
  <c r="AL499" i="5"/>
  <c r="AK499" i="5"/>
  <c r="AI499" i="5"/>
  <c r="AH499" i="5"/>
  <c r="AL498" i="5"/>
  <c r="AK498" i="5"/>
  <c r="AI498" i="5"/>
  <c r="AH498" i="5"/>
  <c r="AL497" i="5"/>
  <c r="AK497" i="5"/>
  <c r="AI497" i="5"/>
  <c r="AH497" i="5"/>
  <c r="AL496" i="5"/>
  <c r="AK496" i="5"/>
  <c r="AI496" i="5"/>
  <c r="AH496" i="5"/>
  <c r="AD511" i="5"/>
  <c r="AE511" i="5" s="1"/>
  <c r="AD510" i="5"/>
  <c r="AE510" i="5" s="1"/>
  <c r="AD509" i="5"/>
  <c r="AE509" i="5" s="1"/>
  <c r="AD508" i="5"/>
  <c r="AE508" i="5" s="1"/>
  <c r="AD507" i="5"/>
  <c r="AE507" i="5" s="1"/>
  <c r="AD506" i="5"/>
  <c r="AE506" i="5" s="1"/>
  <c r="AD505" i="5"/>
  <c r="AE505" i="5" s="1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U511" i="5"/>
  <c r="U510" i="5"/>
  <c r="U509" i="5"/>
  <c r="U508" i="5"/>
  <c r="U507" i="5"/>
  <c r="U506" i="5"/>
  <c r="U505" i="5"/>
  <c r="U504" i="5"/>
  <c r="U503" i="5"/>
  <c r="U502" i="5"/>
  <c r="U501" i="5"/>
  <c r="U500" i="5"/>
  <c r="U499" i="5"/>
  <c r="U498" i="5"/>
  <c r="U497" i="5"/>
  <c r="U496" i="5"/>
  <c r="AL495" i="5"/>
  <c r="AK495" i="5"/>
  <c r="AI495" i="5"/>
  <c r="AH495" i="5"/>
  <c r="AD495" i="5"/>
  <c r="AE495" i="5" s="1"/>
  <c r="U495" i="5"/>
  <c r="T495" i="5"/>
  <c r="Q495" i="5"/>
  <c r="AD504" i="5"/>
  <c r="AE504" i="5" s="1"/>
  <c r="AD503" i="5"/>
  <c r="AE503" i="5" s="1"/>
  <c r="AD502" i="5"/>
  <c r="AE502" i="5" s="1"/>
  <c r="AD501" i="5"/>
  <c r="AE501" i="5" s="1"/>
  <c r="AD500" i="5"/>
  <c r="AE500" i="5" s="1"/>
  <c r="AD499" i="5"/>
  <c r="AE499" i="5" s="1"/>
  <c r="AD498" i="5"/>
  <c r="AE498" i="5" s="1"/>
  <c r="AD497" i="5"/>
  <c r="AE497" i="5" s="1"/>
  <c r="AD496" i="5"/>
  <c r="AE496" i="5" s="1"/>
  <c r="AD494" i="5"/>
  <c r="AE494" i="5" s="1"/>
  <c r="AL494" i="5"/>
  <c r="AK494" i="5"/>
  <c r="AI494" i="5"/>
  <c r="AH494" i="5"/>
  <c r="U494" i="5"/>
  <c r="T494" i="5"/>
  <c r="Q494" i="5"/>
  <c r="AD493" i="5"/>
  <c r="AE493" i="5" s="1"/>
  <c r="AD492" i="5"/>
  <c r="AE492" i="5" s="1"/>
  <c r="AD491" i="5"/>
  <c r="AE491" i="5" s="1"/>
  <c r="AL493" i="5"/>
  <c r="AK493" i="5"/>
  <c r="AI493" i="5"/>
  <c r="AH493" i="5"/>
  <c r="U493" i="5"/>
  <c r="T493" i="5"/>
  <c r="Q493" i="5"/>
  <c r="AL492" i="5"/>
  <c r="AK492" i="5"/>
  <c r="AI492" i="5"/>
  <c r="AH492" i="5"/>
  <c r="U492" i="5"/>
  <c r="T492" i="5"/>
  <c r="Q492" i="5"/>
  <c r="AL491" i="5"/>
  <c r="AK491" i="5"/>
  <c r="AI491" i="5"/>
  <c r="AH491" i="5"/>
  <c r="U491" i="5"/>
  <c r="T491" i="5"/>
  <c r="Q491" i="5"/>
  <c r="AL446" i="5"/>
  <c r="AK446" i="5"/>
  <c r="AI446" i="5"/>
  <c r="AH446" i="5"/>
  <c r="AD446" i="5"/>
  <c r="AE446" i="5" s="1"/>
  <c r="U446" i="5"/>
  <c r="T446" i="5"/>
  <c r="Q446" i="5"/>
  <c r="AL445" i="5"/>
  <c r="AK445" i="5"/>
  <c r="AI445" i="5"/>
  <c r="AH445" i="5"/>
  <c r="AD445" i="5"/>
  <c r="AE445" i="5" s="1"/>
  <c r="U445" i="5"/>
  <c r="T445" i="5"/>
  <c r="Q445" i="5"/>
  <c r="AL490" i="5"/>
  <c r="AK490" i="5"/>
  <c r="AI490" i="5"/>
  <c r="AH490" i="5"/>
  <c r="AD490" i="5"/>
  <c r="AE490" i="5" s="1"/>
  <c r="U490" i="5"/>
  <c r="T490" i="5"/>
  <c r="Q490" i="5"/>
  <c r="AL489" i="5"/>
  <c r="AK489" i="5"/>
  <c r="AI489" i="5"/>
  <c r="AH489" i="5"/>
  <c r="AD489" i="5"/>
  <c r="AE489" i="5" s="1"/>
  <c r="U489" i="5"/>
  <c r="T489" i="5"/>
  <c r="Q489" i="5"/>
  <c r="AL488" i="5"/>
  <c r="AK488" i="5"/>
  <c r="AI488" i="5"/>
  <c r="AH488" i="5"/>
  <c r="AD488" i="5"/>
  <c r="AE488" i="5" s="1"/>
  <c r="U488" i="5"/>
  <c r="T488" i="5"/>
  <c r="Q488" i="5"/>
  <c r="AL487" i="5"/>
  <c r="AK487" i="5"/>
  <c r="AI487" i="5"/>
  <c r="AH487" i="5"/>
  <c r="AD487" i="5"/>
  <c r="AE487" i="5" s="1"/>
  <c r="U487" i="5"/>
  <c r="T487" i="5"/>
  <c r="Q487" i="5"/>
  <c r="AL486" i="5"/>
  <c r="AK486" i="5"/>
  <c r="AI486" i="5"/>
  <c r="AH486" i="5"/>
  <c r="AD486" i="5"/>
  <c r="AE486" i="5" s="1"/>
  <c r="U486" i="5"/>
  <c r="T486" i="5"/>
  <c r="Q486" i="5"/>
  <c r="AL485" i="5"/>
  <c r="AK485" i="5"/>
  <c r="AI485" i="5"/>
  <c r="AH485" i="5"/>
  <c r="AD485" i="5"/>
  <c r="AE485" i="5" s="1"/>
  <c r="U485" i="5"/>
  <c r="T485" i="5"/>
  <c r="Q485" i="5"/>
  <c r="AL484" i="5"/>
  <c r="AK484" i="5"/>
  <c r="AI484" i="5"/>
  <c r="AH484" i="5"/>
  <c r="AD484" i="5"/>
  <c r="AE484" i="5" s="1"/>
  <c r="U484" i="5"/>
  <c r="T484" i="5"/>
  <c r="Q484" i="5"/>
  <c r="AL483" i="5"/>
  <c r="AK483" i="5"/>
  <c r="AI483" i="5"/>
  <c r="AH483" i="5"/>
  <c r="AD483" i="5"/>
  <c r="AE483" i="5" s="1"/>
  <c r="U483" i="5"/>
  <c r="T483" i="5"/>
  <c r="Q483" i="5"/>
  <c r="AL482" i="5"/>
  <c r="AK482" i="5"/>
  <c r="AI482" i="5"/>
  <c r="AH482" i="5"/>
  <c r="AD482" i="5"/>
  <c r="AE482" i="5" s="1"/>
  <c r="U482" i="5"/>
  <c r="T482" i="5"/>
  <c r="Q482" i="5"/>
  <c r="AL481" i="5"/>
  <c r="AK481" i="5"/>
  <c r="AI481" i="5"/>
  <c r="AH481" i="5"/>
  <c r="AD481" i="5"/>
  <c r="AE481" i="5" s="1"/>
  <c r="U481" i="5"/>
  <c r="T481" i="5"/>
  <c r="Q481" i="5"/>
  <c r="AL480" i="5"/>
  <c r="AK480" i="5"/>
  <c r="AI480" i="5"/>
  <c r="AH480" i="5"/>
  <c r="AD480" i="5"/>
  <c r="AE480" i="5" s="1"/>
  <c r="U480" i="5"/>
  <c r="T480" i="5"/>
  <c r="Q480" i="5"/>
  <c r="AL479" i="5"/>
  <c r="AK479" i="5"/>
  <c r="AI479" i="5"/>
  <c r="AH479" i="5"/>
  <c r="AD479" i="5"/>
  <c r="AE479" i="5" s="1"/>
  <c r="U479" i="5"/>
  <c r="T479" i="5"/>
  <c r="Q479" i="5"/>
  <c r="AL478" i="5"/>
  <c r="AK478" i="5"/>
  <c r="AI478" i="5"/>
  <c r="AH478" i="5"/>
  <c r="AD478" i="5"/>
  <c r="AE478" i="5" s="1"/>
  <c r="U478" i="5"/>
  <c r="T478" i="5"/>
  <c r="Q478" i="5"/>
  <c r="AL477" i="5"/>
  <c r="AK477" i="5"/>
  <c r="AI477" i="5"/>
  <c r="AH477" i="5"/>
  <c r="AD477" i="5"/>
  <c r="AE477" i="5" s="1"/>
  <c r="U477" i="5"/>
  <c r="T477" i="5"/>
  <c r="Q477" i="5"/>
  <c r="AL476" i="5"/>
  <c r="AK476" i="5"/>
  <c r="AI476" i="5"/>
  <c r="AH476" i="5"/>
  <c r="AD476" i="5"/>
  <c r="AE476" i="5" s="1"/>
  <c r="U476" i="5"/>
  <c r="T476" i="5"/>
  <c r="Q476" i="5"/>
  <c r="AL444" i="5"/>
  <c r="AK444" i="5"/>
  <c r="AI444" i="5"/>
  <c r="AH444" i="5"/>
  <c r="AD444" i="5"/>
  <c r="AE444" i="5" s="1"/>
  <c r="U444" i="5"/>
  <c r="T444" i="5"/>
  <c r="Q444" i="5"/>
  <c r="AL443" i="5"/>
  <c r="AK443" i="5"/>
  <c r="AI443" i="5"/>
  <c r="AH443" i="5"/>
  <c r="AD443" i="5"/>
  <c r="AE443" i="5" s="1"/>
  <c r="U443" i="5"/>
  <c r="T443" i="5"/>
  <c r="Q443" i="5"/>
  <c r="AL475" i="5"/>
  <c r="AK475" i="5"/>
  <c r="AI475" i="5"/>
  <c r="AH475" i="5"/>
  <c r="AD475" i="5"/>
  <c r="AE475" i="5" s="1"/>
  <c r="U475" i="5"/>
  <c r="T475" i="5"/>
  <c r="Q475" i="5"/>
  <c r="AD343" i="5"/>
  <c r="AE343" i="5" s="1"/>
  <c r="AD342" i="5"/>
  <c r="AE342" i="5" s="1"/>
  <c r="AD341" i="5"/>
  <c r="AE341" i="5" s="1"/>
  <c r="AD340" i="5"/>
  <c r="AE340" i="5" s="1"/>
  <c r="AD339" i="5"/>
  <c r="AE339" i="5" s="1"/>
  <c r="U343" i="5"/>
  <c r="T343" i="5"/>
  <c r="Q343" i="5"/>
  <c r="U342" i="5"/>
  <c r="T342" i="5"/>
  <c r="Q342" i="5"/>
  <c r="U341" i="5"/>
  <c r="T341" i="5"/>
  <c r="Q341" i="5"/>
  <c r="U340" i="5"/>
  <c r="T340" i="5"/>
  <c r="Q340" i="5"/>
  <c r="U339" i="5"/>
  <c r="T339" i="5"/>
  <c r="Q339" i="5"/>
  <c r="AL343" i="5"/>
  <c r="AK343" i="5"/>
  <c r="AI343" i="5"/>
  <c r="AH343" i="5"/>
  <c r="AL342" i="5"/>
  <c r="AK342" i="5"/>
  <c r="AI342" i="5"/>
  <c r="AH342" i="5"/>
  <c r="AL341" i="5"/>
  <c r="AK341" i="5"/>
  <c r="AI341" i="5"/>
  <c r="AH341" i="5"/>
  <c r="AL340" i="5"/>
  <c r="AK340" i="5"/>
  <c r="AI340" i="5"/>
  <c r="AH340" i="5"/>
  <c r="AL339" i="5"/>
  <c r="AK339" i="5"/>
  <c r="AI339" i="5"/>
  <c r="AH339" i="5"/>
  <c r="AL338" i="5"/>
  <c r="AK338" i="5"/>
  <c r="AI338" i="5"/>
  <c r="AH338" i="5"/>
  <c r="AL337" i="5"/>
  <c r="AK337" i="5"/>
  <c r="AI337" i="5"/>
  <c r="AH337" i="5"/>
  <c r="AL336" i="5"/>
  <c r="AK336" i="5"/>
  <c r="AI336" i="5"/>
  <c r="AH336" i="5"/>
  <c r="AL335" i="5"/>
  <c r="AK335" i="5"/>
  <c r="AI335" i="5"/>
  <c r="AH335" i="5"/>
  <c r="AL334" i="5"/>
  <c r="AK334" i="5"/>
  <c r="AI334" i="5"/>
  <c r="AH334" i="5"/>
  <c r="AD338" i="5"/>
  <c r="AE338" i="5" s="1"/>
  <c r="AD337" i="5"/>
  <c r="AE337" i="5" s="1"/>
  <c r="AD336" i="5"/>
  <c r="AE336" i="5" s="1"/>
  <c r="AD335" i="5"/>
  <c r="AE335" i="5" s="1"/>
  <c r="AD334" i="5"/>
  <c r="AE334" i="5" s="1"/>
  <c r="U338" i="5"/>
  <c r="T338" i="5"/>
  <c r="Q338" i="5"/>
  <c r="U337" i="5"/>
  <c r="T337" i="5"/>
  <c r="Q337" i="5"/>
  <c r="U336" i="5"/>
  <c r="T336" i="5"/>
  <c r="Q336" i="5"/>
  <c r="U335" i="5"/>
  <c r="T335" i="5"/>
  <c r="Q335" i="5"/>
  <c r="U334" i="5"/>
  <c r="T334" i="5"/>
  <c r="Q334" i="5"/>
  <c r="AL333" i="5"/>
  <c r="AK333" i="5"/>
  <c r="AI333" i="5"/>
  <c r="AL332" i="5"/>
  <c r="AK332" i="5"/>
  <c r="AI332" i="5"/>
  <c r="AL331" i="5"/>
  <c r="AK331" i="5"/>
  <c r="AI331" i="5"/>
  <c r="AL330" i="5"/>
  <c r="AK330" i="5"/>
  <c r="AI330" i="5"/>
  <c r="AL329" i="5"/>
  <c r="AK329" i="5"/>
  <c r="AI329" i="5"/>
  <c r="AH333" i="5"/>
  <c r="AH332" i="5"/>
  <c r="AH331" i="5"/>
  <c r="AH330" i="5"/>
  <c r="AD333" i="5"/>
  <c r="AE333" i="5" s="1"/>
  <c r="AD332" i="5"/>
  <c r="AE332" i="5" s="1"/>
  <c r="AD331" i="5"/>
  <c r="AE331" i="5" s="1"/>
  <c r="AD330" i="5"/>
  <c r="AE330" i="5" s="1"/>
  <c r="AD329" i="5"/>
  <c r="AE329" i="5" s="1"/>
  <c r="U333" i="5"/>
  <c r="T333" i="5"/>
  <c r="Q333" i="5"/>
  <c r="U332" i="5"/>
  <c r="T332" i="5"/>
  <c r="Q332" i="5"/>
  <c r="U331" i="5"/>
  <c r="T331" i="5"/>
  <c r="Q331" i="5"/>
  <c r="U330" i="5"/>
  <c r="T330" i="5"/>
  <c r="Q330" i="5"/>
  <c r="U329" i="5"/>
  <c r="T329" i="5"/>
  <c r="Q329" i="5"/>
  <c r="AH329" i="5"/>
  <c r="AL328" i="5"/>
  <c r="AK328" i="5"/>
  <c r="AI328" i="5"/>
  <c r="AH328" i="5"/>
  <c r="AL327" i="5"/>
  <c r="AK327" i="5"/>
  <c r="AI327" i="5"/>
  <c r="AH327" i="5"/>
  <c r="AL326" i="5"/>
  <c r="AK326" i="5"/>
  <c r="AI326" i="5"/>
  <c r="AH326" i="5"/>
  <c r="AL325" i="5"/>
  <c r="AK325" i="5"/>
  <c r="AI325" i="5"/>
  <c r="AH325" i="5"/>
  <c r="AL324" i="5"/>
  <c r="AK324" i="5"/>
  <c r="AI324" i="5"/>
  <c r="AH324" i="5"/>
  <c r="AD324" i="5"/>
  <c r="AE324" i="5" s="1"/>
  <c r="U328" i="5"/>
  <c r="T328" i="5"/>
  <c r="Q328" i="5"/>
  <c r="U327" i="5"/>
  <c r="T327" i="5"/>
  <c r="Q327" i="5"/>
  <c r="U326" i="5"/>
  <c r="T326" i="5"/>
  <c r="Q326" i="5"/>
  <c r="U325" i="5"/>
  <c r="T325" i="5"/>
  <c r="Q325" i="5"/>
  <c r="U324" i="5"/>
  <c r="T324" i="5"/>
  <c r="Q324" i="5"/>
  <c r="AL323" i="5"/>
  <c r="AK323" i="5"/>
  <c r="AI323" i="5"/>
  <c r="AH323" i="5"/>
  <c r="AL321" i="5"/>
  <c r="AI321" i="5"/>
  <c r="AH321" i="5"/>
  <c r="AL320" i="5"/>
  <c r="AK320" i="5"/>
  <c r="AI320" i="5"/>
  <c r="AH320" i="5"/>
  <c r="AL319" i="5"/>
  <c r="AK319" i="5"/>
  <c r="AI319" i="5"/>
  <c r="AH319" i="5"/>
  <c r="AD323" i="5"/>
  <c r="AE323" i="5" s="1"/>
  <c r="AD321" i="5"/>
  <c r="AE321" i="5" s="1"/>
  <c r="AD320" i="5"/>
  <c r="AE320" i="5" s="1"/>
  <c r="AD319" i="5"/>
  <c r="AE319" i="5" s="1"/>
  <c r="U323" i="5"/>
  <c r="T323" i="5"/>
  <c r="Q323" i="5"/>
  <c r="U321" i="5"/>
  <c r="T321" i="5"/>
  <c r="Q321" i="5"/>
  <c r="U320" i="5"/>
  <c r="T320" i="5"/>
  <c r="Q320" i="5"/>
  <c r="T319" i="5"/>
  <c r="U319" i="5"/>
  <c r="Q319" i="5"/>
  <c r="AL318" i="5"/>
  <c r="AK318" i="5"/>
  <c r="AI318" i="5"/>
  <c r="AH318" i="5"/>
  <c r="AL317" i="5"/>
  <c r="AK317" i="5"/>
  <c r="AI317" i="5"/>
  <c r="AH317" i="5"/>
  <c r="AL316" i="5"/>
  <c r="AK316" i="5"/>
  <c r="AI316" i="5"/>
  <c r="AH316" i="5"/>
  <c r="AL315" i="5"/>
  <c r="AK315" i="5"/>
  <c r="AI315" i="5"/>
  <c r="AH315" i="5"/>
  <c r="AL314" i="5"/>
  <c r="AK314" i="5"/>
  <c r="AI314" i="5"/>
  <c r="AH314" i="5"/>
  <c r="AD318" i="5"/>
  <c r="AE318" i="5" s="1"/>
  <c r="U318" i="5"/>
  <c r="T318" i="5"/>
  <c r="Q318" i="5"/>
  <c r="U317" i="5"/>
  <c r="T317" i="5"/>
  <c r="Q317" i="5"/>
  <c r="U316" i="5"/>
  <c r="T316" i="5"/>
  <c r="Q316" i="5"/>
  <c r="U315" i="5"/>
  <c r="T315" i="5"/>
  <c r="Q315" i="5"/>
  <c r="U314" i="5"/>
  <c r="T314" i="5"/>
  <c r="Q314" i="5"/>
  <c r="AL313" i="5"/>
  <c r="AK313" i="5"/>
  <c r="AI313" i="5"/>
  <c r="AH313" i="5"/>
  <c r="AL312" i="5"/>
  <c r="AK312" i="5"/>
  <c r="AI312" i="5"/>
  <c r="AH312" i="5"/>
  <c r="AL311" i="5"/>
  <c r="AK311" i="5"/>
  <c r="AI311" i="5"/>
  <c r="AH311" i="5"/>
  <c r="U313" i="5"/>
  <c r="T313" i="5"/>
  <c r="Q313" i="5"/>
  <c r="U312" i="5"/>
  <c r="T312" i="5"/>
  <c r="Q312" i="5"/>
  <c r="U311" i="5"/>
  <c r="T311" i="5"/>
  <c r="Q311" i="5"/>
  <c r="AL308" i="5"/>
  <c r="AK308" i="5"/>
  <c r="AI308" i="5"/>
  <c r="AH308" i="5"/>
  <c r="AL307" i="5"/>
  <c r="AK307" i="5"/>
  <c r="AI307" i="5"/>
  <c r="AH307" i="5"/>
  <c r="AL306" i="5"/>
  <c r="AK306" i="5"/>
  <c r="AI306" i="5"/>
  <c r="AH306" i="5"/>
  <c r="AD328" i="5"/>
  <c r="AE328" i="5" s="1"/>
  <c r="AD327" i="5"/>
  <c r="AE327" i="5" s="1"/>
  <c r="AD326" i="5"/>
  <c r="AE326" i="5" s="1"/>
  <c r="AD325" i="5"/>
  <c r="AE325" i="5" s="1"/>
  <c r="AD317" i="5"/>
  <c r="AE317" i="5" s="1"/>
  <c r="AD316" i="5"/>
  <c r="AE316" i="5" s="1"/>
  <c r="AD315" i="5"/>
  <c r="AE315" i="5" s="1"/>
  <c r="AD314" i="5"/>
  <c r="AE314" i="5" s="1"/>
  <c r="AD313" i="5"/>
  <c r="AE313" i="5" s="1"/>
  <c r="AD312" i="5"/>
  <c r="AE312" i="5" s="1"/>
  <c r="AD311" i="5"/>
  <c r="AE311" i="5" s="1"/>
  <c r="AD308" i="5"/>
  <c r="AE308" i="5" s="1"/>
  <c r="AD307" i="5"/>
  <c r="AE307" i="5" s="1"/>
  <c r="AD306" i="5"/>
  <c r="AE306" i="5" s="1"/>
  <c r="AD305" i="5"/>
  <c r="AE305" i="5" s="1"/>
  <c r="AD304" i="5"/>
  <c r="AE304" i="5" s="1"/>
  <c r="U308" i="5"/>
  <c r="U307" i="5"/>
  <c r="U306" i="5"/>
  <c r="T306" i="5"/>
  <c r="U305" i="5"/>
  <c r="T305" i="5"/>
  <c r="U304" i="5"/>
  <c r="T304" i="5"/>
  <c r="Q304" i="5"/>
  <c r="Q308" i="5"/>
  <c r="Q307" i="5"/>
  <c r="Q306" i="5"/>
  <c r="Q305" i="5"/>
  <c r="AL367" i="5"/>
  <c r="AK367" i="5"/>
  <c r="AI367" i="5"/>
  <c r="AH367" i="5"/>
  <c r="AD367" i="5"/>
  <c r="AE367" i="5" s="1"/>
  <c r="U367" i="5"/>
  <c r="T367" i="5"/>
  <c r="Q367" i="5"/>
  <c r="AL366" i="5"/>
  <c r="AK366" i="5"/>
  <c r="AI366" i="5"/>
  <c r="AH366" i="5"/>
  <c r="AD366" i="5"/>
  <c r="AE366" i="5" s="1"/>
  <c r="U366" i="5"/>
  <c r="T366" i="5"/>
  <c r="Q366" i="5"/>
  <c r="AL365" i="5"/>
  <c r="AK365" i="5"/>
  <c r="AI365" i="5"/>
  <c r="AH365" i="5"/>
  <c r="AD365" i="5"/>
  <c r="AE365" i="5" s="1"/>
  <c r="U365" i="5"/>
  <c r="T365" i="5"/>
  <c r="Q365" i="5"/>
  <c r="AL474" i="5"/>
  <c r="AK474" i="5"/>
  <c r="AI474" i="5"/>
  <c r="AH474" i="5"/>
  <c r="AD474" i="5"/>
  <c r="AE474" i="5" s="1"/>
  <c r="U474" i="5"/>
  <c r="T474" i="5"/>
  <c r="Q474" i="5"/>
  <c r="AL473" i="5"/>
  <c r="AK473" i="5"/>
  <c r="AI473" i="5"/>
  <c r="AH473" i="5"/>
  <c r="AD473" i="5"/>
  <c r="AE473" i="5" s="1"/>
  <c r="U473" i="5"/>
  <c r="T473" i="5"/>
  <c r="Q473" i="5"/>
  <c r="AL472" i="5"/>
  <c r="AK472" i="5"/>
  <c r="AI472" i="5"/>
  <c r="AH472" i="5"/>
  <c r="AD472" i="5"/>
  <c r="AE472" i="5" s="1"/>
  <c r="U472" i="5"/>
  <c r="T472" i="5"/>
  <c r="Q472" i="5"/>
  <c r="AL471" i="5"/>
  <c r="AK471" i="5"/>
  <c r="AI471" i="5"/>
  <c r="AH471" i="5"/>
  <c r="AD471" i="5"/>
  <c r="AE471" i="5" s="1"/>
  <c r="U471" i="5"/>
  <c r="T471" i="5"/>
  <c r="Q471" i="5"/>
  <c r="AL470" i="5"/>
  <c r="AK470" i="5"/>
  <c r="AI470" i="5"/>
  <c r="AH470" i="5"/>
  <c r="AD470" i="5"/>
  <c r="AE470" i="5" s="1"/>
  <c r="U470" i="5"/>
  <c r="T470" i="5"/>
  <c r="Q470" i="5"/>
  <c r="AL469" i="5"/>
  <c r="AK469" i="5"/>
  <c r="AI469" i="5"/>
  <c r="AH469" i="5"/>
  <c r="AD469" i="5"/>
  <c r="AE469" i="5" s="1"/>
  <c r="U469" i="5"/>
  <c r="T469" i="5"/>
  <c r="Q469" i="5"/>
  <c r="AL468" i="5"/>
  <c r="AK468" i="5"/>
  <c r="AI468" i="5"/>
  <c r="AH468" i="5"/>
  <c r="AD468" i="5"/>
  <c r="AE468" i="5" s="1"/>
  <c r="U468" i="5"/>
  <c r="T468" i="5"/>
  <c r="Q468" i="5"/>
  <c r="AL364" i="5"/>
  <c r="AK364" i="5"/>
  <c r="AI364" i="5"/>
  <c r="AH364" i="5"/>
  <c r="AL363" i="5"/>
  <c r="AK363" i="5"/>
  <c r="AI363" i="5"/>
  <c r="AH363" i="5"/>
  <c r="AD364" i="5"/>
  <c r="AE364" i="5" s="1"/>
  <c r="AD363" i="5"/>
  <c r="AE363" i="5" s="1"/>
  <c r="U364" i="5"/>
  <c r="T364" i="5"/>
  <c r="Q364" i="5"/>
  <c r="U363" i="5"/>
  <c r="T363" i="5"/>
  <c r="Q363" i="5"/>
  <c r="AL453" i="5"/>
  <c r="AK453" i="5"/>
  <c r="AI453" i="5"/>
  <c r="AH453" i="5"/>
  <c r="AD453" i="5"/>
  <c r="AE453" i="5" s="1"/>
  <c r="U453" i="5"/>
  <c r="T453" i="5"/>
  <c r="Q453" i="5"/>
  <c r="AL350" i="5"/>
  <c r="AK350" i="5"/>
  <c r="AI350" i="5"/>
  <c r="AH350" i="5"/>
  <c r="AD350" i="5"/>
  <c r="AE350" i="5" s="1"/>
  <c r="U350" i="5"/>
  <c r="T350" i="5"/>
  <c r="Q350" i="5"/>
  <c r="AL454" i="5"/>
  <c r="AK454" i="5"/>
  <c r="AI454" i="5"/>
  <c r="AH454" i="5"/>
  <c r="AD454" i="5"/>
  <c r="AE454" i="5" s="1"/>
  <c r="U454" i="5"/>
  <c r="T454" i="5"/>
  <c r="Q454" i="5"/>
  <c r="AL452" i="5"/>
  <c r="AK452" i="5"/>
  <c r="AI452" i="5"/>
  <c r="AH452" i="5"/>
  <c r="AD452" i="5"/>
  <c r="AE452" i="5" s="1"/>
  <c r="U452" i="5"/>
  <c r="T452" i="5"/>
  <c r="Q452" i="5"/>
  <c r="AL388" i="5"/>
  <c r="AK388" i="5"/>
  <c r="AL387" i="5"/>
  <c r="AK387" i="5"/>
  <c r="AL386" i="5"/>
  <c r="AK386" i="5"/>
  <c r="AI388" i="5"/>
  <c r="AH388" i="5"/>
  <c r="AI387" i="5"/>
  <c r="AH387" i="5"/>
  <c r="AI386" i="5"/>
  <c r="AH386" i="5"/>
  <c r="AD388" i="5"/>
  <c r="AE388" i="5" s="1"/>
  <c r="AD387" i="5"/>
  <c r="AE387" i="5" s="1"/>
  <c r="AD386" i="5"/>
  <c r="AE386" i="5" s="1"/>
  <c r="U388" i="5"/>
  <c r="T388" i="5"/>
  <c r="Q388" i="5"/>
  <c r="U387" i="5"/>
  <c r="T387" i="5"/>
  <c r="Q387" i="5"/>
  <c r="U386" i="5"/>
  <c r="T386" i="5"/>
  <c r="Q386" i="5"/>
  <c r="AD467" i="5"/>
  <c r="AE467" i="5" s="1"/>
  <c r="AD466" i="5"/>
  <c r="AE466" i="5" s="1"/>
  <c r="AD465" i="5"/>
  <c r="AE465" i="5" s="1"/>
  <c r="AD464" i="5"/>
  <c r="AE464" i="5" s="1"/>
  <c r="AD463" i="5"/>
  <c r="AE463" i="5" s="1"/>
  <c r="AD462" i="5"/>
  <c r="AE462" i="5" s="1"/>
  <c r="AD461" i="5"/>
  <c r="AE461" i="5" s="1"/>
  <c r="AD460" i="5"/>
  <c r="AE460" i="5" s="1"/>
  <c r="AD459" i="5"/>
  <c r="AE459" i="5" s="1"/>
  <c r="AD458" i="5"/>
  <c r="AE458" i="5" s="1"/>
  <c r="AD457" i="5"/>
  <c r="AE457" i="5" s="1"/>
  <c r="AD456" i="5"/>
  <c r="AE456" i="5" s="1"/>
  <c r="AD455" i="5"/>
  <c r="AE455" i="5" s="1"/>
  <c r="AD451" i="5"/>
  <c r="AE451" i="5" s="1"/>
  <c r="AD450" i="5"/>
  <c r="AE450" i="5" s="1"/>
  <c r="AD449" i="5"/>
  <c r="AE449" i="5" s="1"/>
  <c r="AD448" i="5"/>
  <c r="AE448" i="5" s="1"/>
  <c r="AD447" i="5"/>
  <c r="AE447" i="5" s="1"/>
  <c r="AD442" i="5"/>
  <c r="AE442" i="5" s="1"/>
  <c r="AD441" i="5"/>
  <c r="AE441" i="5" s="1"/>
  <c r="AD440" i="5"/>
  <c r="AE440" i="5" s="1"/>
  <c r="AD439" i="5"/>
  <c r="AE439" i="5" s="1"/>
  <c r="AD438" i="5"/>
  <c r="AE438" i="5" s="1"/>
  <c r="AD437" i="5"/>
  <c r="AE437" i="5" s="1"/>
  <c r="AD436" i="5"/>
  <c r="AE436" i="5" s="1"/>
  <c r="AD435" i="5"/>
  <c r="AE435" i="5" s="1"/>
  <c r="AD434" i="5"/>
  <c r="AE434" i="5" s="1"/>
  <c r="AD433" i="5"/>
  <c r="AE433" i="5" s="1"/>
  <c r="AD432" i="5"/>
  <c r="AE432" i="5" s="1"/>
  <c r="AD431" i="5"/>
  <c r="AE431" i="5" s="1"/>
  <c r="AD430" i="5"/>
  <c r="AE430" i="5" s="1"/>
  <c r="AD429" i="5"/>
  <c r="AE429" i="5" s="1"/>
  <c r="AD428" i="5"/>
  <c r="AE428" i="5" s="1"/>
  <c r="AD427" i="5"/>
  <c r="AE427" i="5" s="1"/>
  <c r="AD426" i="5"/>
  <c r="AE426" i="5" s="1"/>
  <c r="AD425" i="5"/>
  <c r="AE425" i="5" s="1"/>
  <c r="AD424" i="5"/>
  <c r="AE424" i="5" s="1"/>
  <c r="AD423" i="5"/>
  <c r="AE423" i="5" s="1"/>
  <c r="AD422" i="5"/>
  <c r="AE422" i="5" s="1"/>
  <c r="AD421" i="5"/>
  <c r="AE421" i="5" s="1"/>
  <c r="AD420" i="5"/>
  <c r="AE420" i="5" s="1"/>
  <c r="AD419" i="5"/>
  <c r="AE419" i="5" s="1"/>
  <c r="AD418" i="5"/>
  <c r="AE418" i="5" s="1"/>
  <c r="AD417" i="5"/>
  <c r="AE417" i="5" s="1"/>
  <c r="AD416" i="5"/>
  <c r="AE416" i="5" s="1"/>
  <c r="AD415" i="5"/>
  <c r="AE415" i="5" s="1"/>
  <c r="AD414" i="5"/>
  <c r="AE414" i="5" s="1"/>
  <c r="AD413" i="5"/>
  <c r="AE413" i="5" s="1"/>
  <c r="AD412" i="5"/>
  <c r="AE412" i="5" s="1"/>
  <c r="AD411" i="5"/>
  <c r="AE411" i="5" s="1"/>
  <c r="AD410" i="5"/>
  <c r="AE410" i="5" s="1"/>
  <c r="AD409" i="5"/>
  <c r="AE409" i="5" s="1"/>
  <c r="AD408" i="5"/>
  <c r="AE408" i="5" s="1"/>
  <c r="AD407" i="5"/>
  <c r="AE407" i="5" s="1"/>
  <c r="AD406" i="5"/>
  <c r="AE406" i="5" s="1"/>
  <c r="AD405" i="5"/>
  <c r="AE405" i="5" s="1"/>
  <c r="AD404" i="5"/>
  <c r="AE404" i="5" s="1"/>
  <c r="AD403" i="5"/>
  <c r="AE403" i="5" s="1"/>
  <c r="AD402" i="5"/>
  <c r="AE402" i="5" s="1"/>
  <c r="AD401" i="5"/>
  <c r="AE401" i="5" s="1"/>
  <c r="AD400" i="5"/>
  <c r="AE400" i="5" s="1"/>
  <c r="AL369" i="5"/>
  <c r="AK369" i="5"/>
  <c r="AI369" i="5"/>
  <c r="AH369" i="5"/>
  <c r="AD369" i="5"/>
  <c r="AE369" i="5" s="1"/>
  <c r="U369" i="5"/>
  <c r="T369" i="5"/>
  <c r="Q369" i="5"/>
  <c r="AL368" i="5"/>
  <c r="AK368" i="5"/>
  <c r="AI368" i="5"/>
  <c r="AH368" i="5"/>
  <c r="AD368" i="5"/>
  <c r="AE368" i="5" s="1"/>
  <c r="U368" i="5"/>
  <c r="T368" i="5"/>
  <c r="Q368" i="5"/>
  <c r="Q372" i="5"/>
  <c r="Q373" i="5"/>
  <c r="AL467" i="5"/>
  <c r="AK467" i="5"/>
  <c r="AI467" i="5"/>
  <c r="AH467" i="5"/>
  <c r="U467" i="5"/>
  <c r="T467" i="5"/>
  <c r="Q467" i="5"/>
  <c r="AL466" i="5"/>
  <c r="AK466" i="5"/>
  <c r="AI466" i="5"/>
  <c r="AH466" i="5"/>
  <c r="U466" i="5"/>
  <c r="T466" i="5"/>
  <c r="Q466" i="5"/>
  <c r="AL465" i="5"/>
  <c r="AK465" i="5"/>
  <c r="AI465" i="5"/>
  <c r="AH465" i="5"/>
  <c r="U465" i="5"/>
  <c r="T465" i="5"/>
  <c r="Q465" i="5"/>
  <c r="AL464" i="5"/>
  <c r="AK464" i="5"/>
  <c r="AL463" i="5"/>
  <c r="AK463" i="5"/>
  <c r="AL462" i="5"/>
  <c r="AK462" i="5"/>
  <c r="AL461" i="5"/>
  <c r="AK461" i="5"/>
  <c r="AL460" i="5"/>
  <c r="AK460" i="5"/>
  <c r="AL459" i="5"/>
  <c r="AK459" i="5"/>
  <c r="AL458" i="5"/>
  <c r="AK458" i="5"/>
  <c r="AL457" i="5"/>
  <c r="AK457" i="5"/>
  <c r="AL456" i="5"/>
  <c r="AK456" i="5"/>
  <c r="AL455" i="5"/>
  <c r="AK455" i="5"/>
  <c r="AI455" i="5"/>
  <c r="AH455" i="5"/>
  <c r="U455" i="5"/>
  <c r="T455" i="5"/>
  <c r="Q455" i="5"/>
  <c r="AL430" i="5"/>
  <c r="AK430" i="5"/>
  <c r="AI430" i="5"/>
  <c r="AH430" i="5"/>
  <c r="AL429" i="5"/>
  <c r="AK429" i="5"/>
  <c r="AI429" i="5"/>
  <c r="AH429" i="5"/>
  <c r="AL428" i="5"/>
  <c r="AK428" i="5"/>
  <c r="AI428" i="5"/>
  <c r="AH428" i="5"/>
  <c r="AL427" i="5"/>
  <c r="AK427" i="5"/>
  <c r="AI427" i="5"/>
  <c r="AH427" i="5"/>
  <c r="AL426" i="5"/>
  <c r="AK426" i="5"/>
  <c r="AI426" i="5"/>
  <c r="AH426" i="5"/>
  <c r="AL425" i="5"/>
  <c r="AK425" i="5"/>
  <c r="AI425" i="5"/>
  <c r="AH425" i="5"/>
  <c r="AL424" i="5"/>
  <c r="AK424" i="5"/>
  <c r="AI424" i="5"/>
  <c r="AH424" i="5"/>
  <c r="AL423" i="5"/>
  <c r="AK423" i="5"/>
  <c r="AI423" i="5"/>
  <c r="AH423" i="5"/>
  <c r="AL422" i="5"/>
  <c r="AK422" i="5"/>
  <c r="AI422" i="5"/>
  <c r="AH422" i="5"/>
  <c r="AL421" i="5"/>
  <c r="AK421" i="5"/>
  <c r="AI421" i="5"/>
  <c r="AH421" i="5"/>
  <c r="AL420" i="5"/>
  <c r="AK420" i="5"/>
  <c r="AI420" i="5"/>
  <c r="AH420" i="5"/>
  <c r="AL419" i="5"/>
  <c r="AK419" i="5"/>
  <c r="AI419" i="5"/>
  <c r="AH419" i="5"/>
  <c r="AL418" i="5"/>
  <c r="AK418" i="5"/>
  <c r="AI418" i="5"/>
  <c r="AH418" i="5"/>
  <c r="AL417" i="5"/>
  <c r="AK417" i="5"/>
  <c r="AI417" i="5"/>
  <c r="AH417" i="5"/>
  <c r="AL416" i="5"/>
  <c r="AK416" i="5"/>
  <c r="AI416" i="5"/>
  <c r="AH416" i="5"/>
  <c r="AL415" i="5"/>
  <c r="AK415" i="5"/>
  <c r="AI415" i="5"/>
  <c r="AH415" i="5"/>
  <c r="AL414" i="5"/>
  <c r="AK414" i="5"/>
  <c r="AI414" i="5"/>
  <c r="AH414" i="5"/>
  <c r="AL413" i="5"/>
  <c r="AK413" i="5"/>
  <c r="AI413" i="5"/>
  <c r="AH413" i="5"/>
  <c r="AL412" i="5"/>
  <c r="AK412" i="5"/>
  <c r="AI412" i="5"/>
  <c r="AH412" i="5"/>
  <c r="AL411" i="5"/>
  <c r="AK411" i="5"/>
  <c r="AI411" i="5"/>
  <c r="AH411" i="5"/>
  <c r="AL410" i="5"/>
  <c r="AK410" i="5"/>
  <c r="AI410" i="5"/>
  <c r="AH410" i="5"/>
  <c r="AL409" i="5"/>
  <c r="AK409" i="5"/>
  <c r="AI409" i="5"/>
  <c r="AH409" i="5"/>
  <c r="AL408" i="5"/>
  <c r="AK408" i="5"/>
  <c r="AI408" i="5"/>
  <c r="AH408" i="5"/>
  <c r="AL407" i="5"/>
  <c r="AK407" i="5"/>
  <c r="AI407" i="5"/>
  <c r="AH407" i="5"/>
  <c r="AL406" i="5"/>
  <c r="AK406" i="5"/>
  <c r="AI406" i="5"/>
  <c r="AH406" i="5"/>
  <c r="AL405" i="5"/>
  <c r="AK405" i="5"/>
  <c r="AI405" i="5"/>
  <c r="AH405" i="5"/>
  <c r="AL404" i="5"/>
  <c r="AK404" i="5"/>
  <c r="AI404" i="5"/>
  <c r="AH404" i="5"/>
  <c r="AL403" i="5"/>
  <c r="AK403" i="5"/>
  <c r="AI403" i="5"/>
  <c r="AH403" i="5"/>
  <c r="AL402" i="5"/>
  <c r="AK402" i="5"/>
  <c r="AI402" i="5"/>
  <c r="AH402" i="5"/>
  <c r="AL401" i="5"/>
  <c r="AK401" i="5"/>
  <c r="AI401" i="5"/>
  <c r="AH401" i="5"/>
  <c r="AL400" i="5"/>
  <c r="AK400" i="5"/>
  <c r="AI400" i="5"/>
  <c r="AH400" i="5"/>
  <c r="U430" i="5"/>
  <c r="T430" i="5"/>
  <c r="Q430" i="5"/>
  <c r="U429" i="5"/>
  <c r="T429" i="5"/>
  <c r="Q429" i="5"/>
  <c r="U428" i="5"/>
  <c r="T428" i="5"/>
  <c r="Q428" i="5"/>
  <c r="U427" i="5"/>
  <c r="T427" i="5"/>
  <c r="Q427" i="5"/>
  <c r="U426" i="5"/>
  <c r="T426" i="5"/>
  <c r="Q426" i="5"/>
  <c r="U425" i="5"/>
  <c r="T425" i="5"/>
  <c r="Q425" i="5"/>
  <c r="U424" i="5"/>
  <c r="T424" i="5"/>
  <c r="Q424" i="5"/>
  <c r="U423" i="5"/>
  <c r="T423" i="5"/>
  <c r="Q423" i="5"/>
  <c r="U422" i="5"/>
  <c r="T422" i="5"/>
  <c r="Q422" i="5"/>
  <c r="U421" i="5"/>
  <c r="T421" i="5"/>
  <c r="Q421" i="5"/>
  <c r="U420" i="5"/>
  <c r="T420" i="5"/>
  <c r="Q420" i="5"/>
  <c r="U419" i="5"/>
  <c r="T419" i="5"/>
  <c r="Q419" i="5"/>
  <c r="U418" i="5"/>
  <c r="T418" i="5"/>
  <c r="Q418" i="5"/>
  <c r="U417" i="5"/>
  <c r="T417" i="5"/>
  <c r="Q417" i="5"/>
  <c r="U416" i="5"/>
  <c r="T416" i="5"/>
  <c r="Q416" i="5"/>
  <c r="U415" i="5"/>
  <c r="T415" i="5"/>
  <c r="Q415" i="5"/>
  <c r="U414" i="5"/>
  <c r="T414" i="5"/>
  <c r="Q414" i="5"/>
  <c r="U413" i="5"/>
  <c r="T413" i="5"/>
  <c r="Q413" i="5"/>
  <c r="U412" i="5"/>
  <c r="T412" i="5"/>
  <c r="Q412" i="5"/>
  <c r="U411" i="5"/>
  <c r="T411" i="5"/>
  <c r="Q411" i="5"/>
  <c r="U410" i="5"/>
  <c r="T410" i="5"/>
  <c r="Q410" i="5"/>
  <c r="U409" i="5"/>
  <c r="T409" i="5"/>
  <c r="Q409" i="5"/>
  <c r="U408" i="5"/>
  <c r="T408" i="5"/>
  <c r="Q408" i="5"/>
  <c r="U407" i="5"/>
  <c r="Q407" i="5"/>
  <c r="U406" i="5"/>
  <c r="T406" i="5"/>
  <c r="Q406" i="5"/>
  <c r="U405" i="5"/>
  <c r="T405" i="5"/>
  <c r="Q405" i="5"/>
  <c r="U404" i="5"/>
  <c r="T404" i="5"/>
  <c r="Q404" i="5"/>
  <c r="U403" i="5"/>
  <c r="T403" i="5"/>
  <c r="Q403" i="5"/>
  <c r="U402" i="5"/>
  <c r="T402" i="5"/>
  <c r="Q402" i="5"/>
  <c r="U401" i="5"/>
  <c r="T401" i="5"/>
  <c r="Q401" i="5"/>
  <c r="U400" i="5"/>
  <c r="T400" i="5"/>
  <c r="Q400" i="5"/>
  <c r="AL451" i="5"/>
  <c r="AK451" i="5"/>
  <c r="AI451" i="5"/>
  <c r="AH451" i="5"/>
  <c r="U451" i="5"/>
  <c r="T451" i="5"/>
  <c r="Q451" i="5"/>
  <c r="AI464" i="5"/>
  <c r="AH464" i="5"/>
  <c r="AI463" i="5"/>
  <c r="AH463" i="5"/>
  <c r="AI462" i="5"/>
  <c r="AH462" i="5"/>
  <c r="AI461" i="5"/>
  <c r="AH461" i="5"/>
  <c r="AI460" i="5"/>
  <c r="AH460" i="5"/>
  <c r="AI459" i="5"/>
  <c r="AH459" i="5"/>
  <c r="AI458" i="5"/>
  <c r="AH458" i="5"/>
  <c r="AI457" i="5"/>
  <c r="AH457" i="5"/>
  <c r="AI456" i="5"/>
  <c r="AH456" i="5"/>
  <c r="AL450" i="5"/>
  <c r="AK450" i="5"/>
  <c r="AI450" i="5"/>
  <c r="AH450" i="5"/>
  <c r="U450" i="5"/>
  <c r="T450" i="5"/>
  <c r="Q450" i="5"/>
  <c r="AL449" i="5"/>
  <c r="AK449" i="5"/>
  <c r="AI449" i="5"/>
  <c r="AH449" i="5"/>
  <c r="U449" i="5"/>
  <c r="T449" i="5"/>
  <c r="Q449" i="5"/>
  <c r="AL448" i="5"/>
  <c r="AK448" i="5"/>
  <c r="AI448" i="5"/>
  <c r="AH448" i="5"/>
  <c r="AL447" i="5"/>
  <c r="AK447" i="5"/>
  <c r="AI447" i="5"/>
  <c r="AH447" i="5"/>
  <c r="AL384" i="5"/>
  <c r="AL383" i="5"/>
  <c r="AK384" i="5"/>
  <c r="AK383" i="5"/>
  <c r="AI384" i="5"/>
  <c r="AI383" i="5"/>
  <c r="AD385" i="5"/>
  <c r="AE385" i="5" s="1"/>
  <c r="AD384" i="5"/>
  <c r="AE384" i="5" s="1"/>
  <c r="AD383" i="5"/>
  <c r="AE383" i="5" s="1"/>
  <c r="U384" i="5"/>
  <c r="T384" i="5"/>
  <c r="U383" i="5"/>
  <c r="T383" i="5"/>
  <c r="Q384" i="5"/>
  <c r="AH384" i="5"/>
  <c r="Q383" i="5"/>
  <c r="AH383" i="5"/>
  <c r="AL381" i="5"/>
  <c r="AK381" i="5"/>
  <c r="AI381" i="5"/>
  <c r="AL380" i="5"/>
  <c r="AK380" i="5"/>
  <c r="AI380" i="5"/>
  <c r="AL379" i="5"/>
  <c r="AK379" i="5"/>
  <c r="AI379" i="5"/>
  <c r="AL378" i="5"/>
  <c r="AK378" i="5"/>
  <c r="AI378" i="5"/>
  <c r="AL377" i="5"/>
  <c r="AK377" i="5"/>
  <c r="AI377" i="5"/>
  <c r="AL376" i="5"/>
  <c r="AK376" i="5"/>
  <c r="AI376" i="5"/>
  <c r="AL375" i="5"/>
  <c r="AK375" i="5"/>
  <c r="AI375" i="5"/>
  <c r="AD381" i="5"/>
  <c r="AE381" i="5" s="1"/>
  <c r="AD380" i="5"/>
  <c r="AE380" i="5" s="1"/>
  <c r="AD379" i="5"/>
  <c r="AE379" i="5" s="1"/>
  <c r="AD378" i="5"/>
  <c r="AE378" i="5" s="1"/>
  <c r="AD377" i="5"/>
  <c r="AE377" i="5" s="1"/>
  <c r="AD376" i="5"/>
  <c r="AE376" i="5" s="1"/>
  <c r="AD375" i="5"/>
  <c r="AE375" i="5" s="1"/>
  <c r="U381" i="5"/>
  <c r="T381" i="5"/>
  <c r="U380" i="5"/>
  <c r="T380" i="5"/>
  <c r="U379" i="5"/>
  <c r="T379" i="5"/>
  <c r="U378" i="5"/>
  <c r="T378" i="5"/>
  <c r="U377" i="5"/>
  <c r="T377" i="5"/>
  <c r="U376" i="5"/>
  <c r="T376" i="5"/>
  <c r="U375" i="5"/>
  <c r="T375" i="5"/>
  <c r="Q381" i="5"/>
  <c r="AH381" i="5"/>
  <c r="Q380" i="5"/>
  <c r="AH380" i="5"/>
  <c r="Q379" i="5"/>
  <c r="AH379" i="5"/>
  <c r="Q378" i="5"/>
  <c r="AH378" i="5"/>
  <c r="Q377" i="5"/>
  <c r="AH377" i="5"/>
  <c r="Q376" i="5"/>
  <c r="AH376" i="5"/>
  <c r="Q375" i="5"/>
  <c r="AH375" i="5"/>
  <c r="AL385" i="5"/>
  <c r="AK385" i="5"/>
  <c r="AI385" i="5"/>
  <c r="AH385" i="5"/>
  <c r="AL382" i="5"/>
  <c r="AK382" i="5"/>
  <c r="AI382" i="5"/>
  <c r="AH382" i="5"/>
  <c r="AL442" i="5"/>
  <c r="AK442" i="5"/>
  <c r="AI442" i="5"/>
  <c r="AH442" i="5"/>
  <c r="U442" i="5"/>
  <c r="T442" i="5"/>
  <c r="Q442" i="5"/>
  <c r="AL441" i="5"/>
  <c r="AK441" i="5"/>
  <c r="AI441" i="5"/>
  <c r="AH441" i="5"/>
  <c r="U441" i="5"/>
  <c r="T441" i="5"/>
  <c r="Q441" i="5"/>
  <c r="AL440" i="5"/>
  <c r="AK440" i="5"/>
  <c r="AI440" i="5"/>
  <c r="AH440" i="5"/>
  <c r="AL439" i="5"/>
  <c r="AK439" i="5"/>
  <c r="AI439" i="5"/>
  <c r="AH439" i="5"/>
  <c r="AL438" i="5"/>
  <c r="AK438" i="5"/>
  <c r="AI438" i="5"/>
  <c r="AH438" i="5"/>
  <c r="AD346" i="5"/>
  <c r="AE346" i="5" s="1"/>
  <c r="AD345" i="5"/>
  <c r="AE345" i="5" s="1"/>
  <c r="U346" i="5"/>
  <c r="T346" i="5"/>
  <c r="Q346" i="5"/>
  <c r="U345" i="5"/>
  <c r="T345" i="5"/>
  <c r="Q345" i="5"/>
  <c r="AL346" i="5"/>
  <c r="AK346" i="5"/>
  <c r="AI346" i="5"/>
  <c r="AH346" i="5"/>
  <c r="AL345" i="5"/>
  <c r="AK345" i="5"/>
  <c r="AI345" i="5"/>
  <c r="AH345" i="5"/>
  <c r="AL433" i="5"/>
  <c r="AK433" i="5"/>
  <c r="AI433" i="5"/>
  <c r="AH433" i="5"/>
  <c r="U433" i="5"/>
  <c r="T433" i="5"/>
  <c r="Q433" i="5"/>
  <c r="AL437" i="5"/>
  <c r="AK437" i="5"/>
  <c r="AL436" i="5"/>
  <c r="AK436" i="5"/>
  <c r="AL435" i="5"/>
  <c r="AK435" i="5"/>
  <c r="AL434" i="5"/>
  <c r="AK434" i="5"/>
  <c r="AL432" i="5"/>
  <c r="AK432" i="5"/>
  <c r="AL431" i="5"/>
  <c r="AK431" i="5"/>
  <c r="AI437" i="5"/>
  <c r="AH437" i="5"/>
  <c r="AI436" i="5"/>
  <c r="AH436" i="5"/>
  <c r="AI435" i="5"/>
  <c r="AH435" i="5"/>
  <c r="AI434" i="5"/>
  <c r="AH434" i="5"/>
  <c r="AI432" i="5"/>
  <c r="AH432" i="5"/>
  <c r="AI431" i="5"/>
  <c r="AH431" i="5"/>
  <c r="AI394" i="5"/>
  <c r="AL399" i="5"/>
  <c r="AK399" i="5"/>
  <c r="AI399" i="5"/>
  <c r="AH399" i="5"/>
  <c r="AL398" i="5"/>
  <c r="AK398" i="5"/>
  <c r="AI398" i="5"/>
  <c r="AH398" i="5"/>
  <c r="AL397" i="5"/>
  <c r="AK397" i="5"/>
  <c r="AI397" i="5"/>
  <c r="AH397" i="5"/>
  <c r="AL396" i="5"/>
  <c r="AK396" i="5"/>
  <c r="AI396" i="5"/>
  <c r="AH396" i="5"/>
  <c r="AL395" i="5"/>
  <c r="AK395" i="5"/>
  <c r="AI395" i="5"/>
  <c r="AH395" i="5"/>
  <c r="AL394" i="5"/>
  <c r="AK394" i="5"/>
  <c r="AH394" i="5"/>
  <c r="AD394" i="5"/>
  <c r="AE394" i="5" s="1"/>
  <c r="U394" i="5"/>
  <c r="T394" i="5"/>
  <c r="Q394" i="5"/>
  <c r="AL393" i="5"/>
  <c r="AK393" i="5"/>
  <c r="AI393" i="5"/>
  <c r="AH393" i="5"/>
  <c r="AD393" i="5"/>
  <c r="AE393" i="5" s="1"/>
  <c r="U393" i="5"/>
  <c r="T393" i="5"/>
  <c r="Q393" i="5"/>
  <c r="AL392" i="5"/>
  <c r="AK392" i="5"/>
  <c r="AI392" i="5"/>
  <c r="AH392" i="5"/>
  <c r="AD392" i="5"/>
  <c r="AE392" i="5" s="1"/>
  <c r="U392" i="5"/>
  <c r="T392" i="5"/>
  <c r="Q392" i="5"/>
  <c r="AL391" i="5"/>
  <c r="AK391" i="5"/>
  <c r="AI391" i="5"/>
  <c r="AH391" i="5"/>
  <c r="AD391" i="5"/>
  <c r="AE391" i="5" s="1"/>
  <c r="U391" i="5"/>
  <c r="T391" i="5"/>
  <c r="Q391" i="5"/>
  <c r="AL390" i="5"/>
  <c r="AK390" i="5"/>
  <c r="AI390" i="5"/>
  <c r="AH390" i="5"/>
  <c r="AD390" i="5"/>
  <c r="AE390" i="5" s="1"/>
  <c r="U390" i="5"/>
  <c r="T390" i="5"/>
  <c r="Q390" i="5"/>
  <c r="AL389" i="5"/>
  <c r="AK389" i="5"/>
  <c r="AI389" i="5"/>
  <c r="AH389" i="5"/>
  <c r="AD389" i="5"/>
  <c r="AE389" i="5" s="1"/>
  <c r="U389" i="5"/>
  <c r="T389" i="5"/>
  <c r="Q389" i="5"/>
  <c r="AL360" i="5"/>
  <c r="AK360" i="5"/>
  <c r="AI360" i="5"/>
  <c r="AH360" i="5"/>
  <c r="AD360" i="5"/>
  <c r="AE360" i="5" s="1"/>
  <c r="U360" i="5"/>
  <c r="T360" i="5"/>
  <c r="Q360" i="5"/>
  <c r="AL359" i="5"/>
  <c r="AK359" i="5"/>
  <c r="AI359" i="5"/>
  <c r="AH359" i="5"/>
  <c r="AD359" i="5"/>
  <c r="AE359" i="5" s="1"/>
  <c r="U359" i="5"/>
  <c r="T359" i="5"/>
  <c r="Q359" i="5"/>
  <c r="AL358" i="5"/>
  <c r="AK358" i="5"/>
  <c r="AI358" i="5"/>
  <c r="AH358" i="5"/>
  <c r="AD358" i="5"/>
  <c r="AE358" i="5" s="1"/>
  <c r="U358" i="5"/>
  <c r="T358" i="5"/>
  <c r="Q358" i="5"/>
  <c r="AL357" i="5"/>
  <c r="AK357" i="5"/>
  <c r="AI357" i="5"/>
  <c r="AH357" i="5"/>
  <c r="AD357" i="5"/>
  <c r="AE357" i="5" s="1"/>
  <c r="U357" i="5"/>
  <c r="T357" i="5"/>
  <c r="Q357" i="5"/>
  <c r="AL356" i="5"/>
  <c r="AK356" i="5"/>
  <c r="AI356" i="5"/>
  <c r="AH356" i="5"/>
  <c r="AD356" i="5"/>
  <c r="AE356" i="5" s="1"/>
  <c r="U356" i="5"/>
  <c r="T356" i="5"/>
  <c r="Q356" i="5"/>
  <c r="AL355" i="5"/>
  <c r="AK355" i="5"/>
  <c r="AI355" i="5"/>
  <c r="AH355" i="5"/>
  <c r="AD355" i="5"/>
  <c r="AE355" i="5" s="1"/>
  <c r="U355" i="5"/>
  <c r="T355" i="5"/>
  <c r="Q355" i="5"/>
  <c r="AL354" i="5"/>
  <c r="AK354" i="5"/>
  <c r="AI354" i="5"/>
  <c r="AH354" i="5"/>
  <c r="AD354" i="5"/>
  <c r="AE354" i="5" s="1"/>
  <c r="U354" i="5"/>
  <c r="T354" i="5"/>
  <c r="Q354" i="5"/>
  <c r="AL353" i="5"/>
  <c r="AK353" i="5"/>
  <c r="AI353" i="5"/>
  <c r="AH353" i="5"/>
  <c r="AD353" i="5"/>
  <c r="AE353" i="5" s="1"/>
  <c r="U353" i="5"/>
  <c r="T353" i="5"/>
  <c r="Q353" i="5"/>
  <c r="AL371" i="5"/>
  <c r="AK371" i="5"/>
  <c r="AI371" i="5"/>
  <c r="AH371" i="5"/>
  <c r="AD371" i="5"/>
  <c r="AE371" i="5" s="1"/>
  <c r="U371" i="5"/>
  <c r="T371" i="5"/>
  <c r="Q371" i="5"/>
  <c r="AL370" i="5"/>
  <c r="AK370" i="5"/>
  <c r="AI370" i="5"/>
  <c r="AH370" i="5"/>
  <c r="AD370" i="5"/>
  <c r="AE370" i="5" s="1"/>
  <c r="U370" i="5"/>
  <c r="T370" i="5"/>
  <c r="Q370" i="5"/>
  <c r="AL344" i="5"/>
  <c r="AK344" i="5"/>
  <c r="AI344" i="5"/>
  <c r="AH344" i="5"/>
  <c r="AD344" i="5"/>
  <c r="AE344" i="5" s="1"/>
  <c r="U344" i="5"/>
  <c r="T344" i="5"/>
  <c r="Q344" i="5"/>
  <c r="AD399" i="5"/>
  <c r="AE399" i="5" s="1"/>
  <c r="AD398" i="5"/>
  <c r="AE398" i="5" s="1"/>
  <c r="AD397" i="5"/>
  <c r="AE397" i="5" s="1"/>
  <c r="AD396" i="5"/>
  <c r="AE396" i="5" s="1"/>
  <c r="AD395" i="5"/>
  <c r="AE395" i="5" s="1"/>
  <c r="AD382" i="5"/>
  <c r="AE382" i="5" s="1"/>
  <c r="AD374" i="5"/>
  <c r="AE374" i="5" s="1"/>
  <c r="AD373" i="5"/>
  <c r="AE373" i="5" s="1"/>
  <c r="AD372" i="5"/>
  <c r="AE372" i="5" s="1"/>
  <c r="AD362" i="5"/>
  <c r="AE362" i="5" s="1"/>
  <c r="AD361" i="5"/>
  <c r="AE361" i="5" s="1"/>
  <c r="AD352" i="5"/>
  <c r="AE352" i="5" s="1"/>
  <c r="U464" i="5"/>
  <c r="T464" i="5"/>
  <c r="Q464" i="5"/>
  <c r="U463" i="5"/>
  <c r="T463" i="5"/>
  <c r="Q463" i="5"/>
  <c r="U462" i="5"/>
  <c r="T462" i="5"/>
  <c r="Q462" i="5"/>
  <c r="U461" i="5"/>
  <c r="T461" i="5"/>
  <c r="Q461" i="5"/>
  <c r="U460" i="5"/>
  <c r="T460" i="5"/>
  <c r="Q460" i="5"/>
  <c r="U459" i="5"/>
  <c r="T459" i="5"/>
  <c r="Q459" i="5"/>
  <c r="U458" i="5"/>
  <c r="T458" i="5"/>
  <c r="Q458" i="5"/>
  <c r="U457" i="5"/>
  <c r="T457" i="5"/>
  <c r="Q457" i="5"/>
  <c r="U456" i="5"/>
  <c r="T456" i="5"/>
  <c r="Q456" i="5"/>
  <c r="U448" i="5"/>
  <c r="T448" i="5"/>
  <c r="Q448" i="5"/>
  <c r="U447" i="5"/>
  <c r="T447" i="5"/>
  <c r="Q447" i="5"/>
  <c r="U440" i="5"/>
  <c r="T440" i="5"/>
  <c r="Q440" i="5"/>
  <c r="U439" i="5"/>
  <c r="T439" i="5"/>
  <c r="Q439" i="5"/>
  <c r="U438" i="5"/>
  <c r="T438" i="5"/>
  <c r="Q438" i="5"/>
  <c r="U437" i="5"/>
  <c r="T437" i="5"/>
  <c r="Q437" i="5"/>
  <c r="U436" i="5"/>
  <c r="T436" i="5"/>
  <c r="Q436" i="5"/>
  <c r="U435" i="5"/>
  <c r="T435" i="5"/>
  <c r="Q435" i="5"/>
  <c r="U434" i="5"/>
  <c r="T434" i="5"/>
  <c r="Q434" i="5"/>
  <c r="U432" i="5"/>
  <c r="T432" i="5"/>
  <c r="Q432" i="5"/>
  <c r="U431" i="5"/>
  <c r="T431" i="5"/>
  <c r="Q431" i="5"/>
  <c r="U399" i="5"/>
  <c r="T399" i="5"/>
  <c r="Q399" i="5"/>
  <c r="U398" i="5"/>
  <c r="T398" i="5"/>
  <c r="Q398" i="5"/>
  <c r="U397" i="5"/>
  <c r="T397" i="5"/>
  <c r="Q397" i="5"/>
  <c r="U396" i="5"/>
  <c r="T396" i="5"/>
  <c r="Q396" i="5"/>
  <c r="AL349" i="5"/>
  <c r="AK349" i="5"/>
  <c r="AI349" i="5"/>
  <c r="AH349" i="5"/>
  <c r="AD349" i="5"/>
  <c r="AE349" i="5" s="1"/>
  <c r="U349" i="5"/>
  <c r="T349" i="5"/>
  <c r="Q349" i="5"/>
  <c r="AL374" i="5"/>
  <c r="AK374" i="5"/>
  <c r="AI374" i="5"/>
  <c r="AL373" i="5"/>
  <c r="AK373" i="5"/>
  <c r="AI373" i="5"/>
  <c r="AL372" i="5"/>
  <c r="AK372" i="5"/>
  <c r="AI372" i="5"/>
  <c r="AL362" i="5"/>
  <c r="AK362" i="5"/>
  <c r="AI362" i="5"/>
  <c r="AL361" i="5"/>
  <c r="AK361" i="5"/>
  <c r="AI361" i="5"/>
  <c r="AL352" i="5"/>
  <c r="AK352" i="5"/>
  <c r="AI352" i="5"/>
  <c r="AH374" i="5"/>
  <c r="AH373" i="5"/>
  <c r="AH372" i="5"/>
  <c r="AH362" i="5"/>
  <c r="AH361" i="5"/>
  <c r="AH352" i="5"/>
  <c r="AD299" i="5"/>
  <c r="AE299" i="5" s="1"/>
  <c r="AD297" i="5"/>
  <c r="AE297" i="5" s="1"/>
  <c r="AD298" i="5"/>
  <c r="AE298" i="5" s="1"/>
  <c r="U395" i="5"/>
  <c r="T395" i="5"/>
  <c r="Q395" i="5"/>
  <c r="U385" i="5"/>
  <c r="T385" i="5"/>
  <c r="Q385" i="5"/>
  <c r="U382" i="5"/>
  <c r="T382" i="5"/>
  <c r="Q382" i="5"/>
  <c r="U374" i="5"/>
  <c r="T374" i="5"/>
  <c r="Q374" i="5"/>
  <c r="U373" i="5"/>
  <c r="T373" i="5"/>
  <c r="U372" i="5"/>
  <c r="T372" i="5"/>
  <c r="U362" i="5"/>
  <c r="T362" i="5"/>
  <c r="Q362" i="5"/>
  <c r="U361" i="5"/>
  <c r="T361" i="5"/>
  <c r="Q361" i="5"/>
  <c r="U352" i="5"/>
  <c r="T352" i="5"/>
  <c r="Q352" i="5"/>
  <c r="AD573" i="5"/>
  <c r="AD572" i="5"/>
  <c r="AD571" i="5"/>
  <c r="AD570" i="5"/>
  <c r="AE570" i="5" s="1"/>
  <c r="AD569" i="5"/>
  <c r="AE569" i="5" s="1"/>
  <c r="AD568" i="5"/>
  <c r="AE568" i="5" s="1"/>
  <c r="AD567" i="5"/>
  <c r="AE567" i="5" s="1"/>
  <c r="AD566" i="5"/>
  <c r="AE566" i="5" s="1"/>
  <c r="AD565" i="5"/>
  <c r="AE565" i="5" s="1"/>
  <c r="AD564" i="5"/>
  <c r="AE564" i="5" s="1"/>
  <c r="AD563" i="5"/>
  <c r="AE563" i="5" s="1"/>
  <c r="AD562" i="5"/>
  <c r="AE562" i="5" s="1"/>
  <c r="AD351" i="5"/>
  <c r="AE351" i="5" s="1"/>
  <c r="AD348" i="5"/>
  <c r="AE348" i="5" s="1"/>
  <c r="AD347" i="5"/>
  <c r="AE347" i="5" s="1"/>
  <c r="AD303" i="5"/>
  <c r="AE303" i="5" s="1"/>
  <c r="AD302" i="5"/>
  <c r="AE302" i="5" s="1"/>
  <c r="AD301" i="5"/>
  <c r="AE301" i="5" s="1"/>
  <c r="AD300" i="5"/>
  <c r="AE300" i="5" s="1"/>
  <c r="AD296" i="5"/>
  <c r="AE296" i="5" s="1"/>
  <c r="AD295" i="5"/>
  <c r="AE295" i="5" s="1"/>
  <c r="AL291" i="5"/>
  <c r="AK291" i="5"/>
  <c r="AI291" i="5"/>
  <c r="AH291" i="5"/>
  <c r="U291" i="5"/>
  <c r="T291" i="5"/>
  <c r="Q291" i="5"/>
  <c r="T287" i="5"/>
  <c r="T288" i="5"/>
  <c r="AD284" i="5"/>
  <c r="AE284" i="5" s="1"/>
  <c r="AD283" i="5"/>
  <c r="AE283" i="5" s="1"/>
  <c r="AD282" i="5"/>
  <c r="AE282" i="5" s="1"/>
  <c r="AD279" i="5"/>
  <c r="AE279" i="5" s="1"/>
  <c r="AD278" i="5"/>
  <c r="AE278" i="5" s="1"/>
  <c r="AD277" i="5"/>
  <c r="AE277" i="5" s="1"/>
  <c r="AD276" i="5"/>
  <c r="AE276" i="5" s="1"/>
  <c r="AD275" i="5"/>
  <c r="AE275" i="5" s="1"/>
  <c r="AD273" i="5"/>
  <c r="AE273" i="5" s="1"/>
  <c r="AD274" i="5"/>
  <c r="AE274" i="5" s="1"/>
  <c r="AD272" i="5"/>
  <c r="AE272" i="5" s="1"/>
  <c r="AD271" i="5"/>
  <c r="AE271" i="5" s="1"/>
  <c r="AD270" i="5"/>
  <c r="AE270" i="5" s="1"/>
  <c r="Q228" i="5"/>
  <c r="Q229" i="5"/>
  <c r="Q230" i="5"/>
  <c r="AD264" i="5"/>
  <c r="AE264" i="5" s="1"/>
  <c r="AD261" i="5"/>
  <c r="AE261" i="5" s="1"/>
  <c r="AD259" i="5"/>
  <c r="AE259" i="5" s="1"/>
  <c r="AD258" i="5"/>
  <c r="AE258" i="5" s="1"/>
  <c r="AD257" i="5"/>
  <c r="AE257" i="5" s="1"/>
  <c r="AD256" i="5"/>
  <c r="AE256" i="5" s="1"/>
  <c r="AD255" i="5"/>
  <c r="AE255" i="5" s="1"/>
  <c r="AD254" i="5"/>
  <c r="AE254" i="5" s="1"/>
  <c r="AD253" i="5"/>
  <c r="AE253" i="5" s="1"/>
  <c r="AD252" i="5"/>
  <c r="AE252" i="5" s="1"/>
  <c r="AD249" i="5"/>
  <c r="AE249" i="5" s="1"/>
  <c r="AD248" i="5"/>
  <c r="AE248" i="5" s="1"/>
  <c r="AD247" i="5"/>
  <c r="AE247" i="5" s="1"/>
  <c r="AD246" i="5"/>
  <c r="AE246" i="5" s="1"/>
  <c r="AD245" i="5"/>
  <c r="AE245" i="5" s="1"/>
  <c r="AD244" i="5"/>
  <c r="AE244" i="5" s="1"/>
  <c r="AD243" i="5"/>
  <c r="AE243" i="5" s="1"/>
  <c r="AD242" i="5"/>
  <c r="AE242" i="5" s="1"/>
  <c r="AD241" i="5"/>
  <c r="AE241" i="5" s="1"/>
  <c r="AL226" i="5"/>
  <c r="AL225" i="5"/>
  <c r="AL224" i="5"/>
  <c r="AL223" i="5"/>
  <c r="AL222" i="5"/>
  <c r="AL221" i="5"/>
  <c r="AL220" i="5"/>
  <c r="AL219" i="5"/>
  <c r="AL218" i="5"/>
  <c r="AL217" i="5"/>
  <c r="AK226" i="5"/>
  <c r="AI226" i="5"/>
  <c r="AH226" i="5"/>
  <c r="AI225" i="5"/>
  <c r="AH225" i="5"/>
  <c r="AK224" i="5"/>
  <c r="AI224" i="5"/>
  <c r="AH224" i="5"/>
  <c r="AK223" i="5"/>
  <c r="AI223" i="5"/>
  <c r="AH223" i="5"/>
  <c r="AK222" i="5"/>
  <c r="AI222" i="5"/>
  <c r="AH222" i="5"/>
  <c r="AK221" i="5"/>
  <c r="AI221" i="5"/>
  <c r="AH221" i="5"/>
  <c r="AK220" i="5"/>
  <c r="AI220" i="5"/>
  <c r="AH220" i="5"/>
  <c r="AK219" i="5"/>
  <c r="AI219" i="5"/>
  <c r="AH219" i="5"/>
  <c r="AK218" i="5"/>
  <c r="AI218" i="5"/>
  <c r="AH218" i="5"/>
  <c r="AK217" i="5"/>
  <c r="AI217" i="5"/>
  <c r="AH217" i="5"/>
  <c r="AD226" i="5"/>
  <c r="AE226" i="5" s="1"/>
  <c r="AD225" i="5"/>
  <c r="AE225" i="5" s="1"/>
  <c r="AD224" i="5"/>
  <c r="AE224" i="5" s="1"/>
  <c r="AD223" i="5"/>
  <c r="AE223" i="5" s="1"/>
  <c r="AD222" i="5"/>
  <c r="AE222" i="5" s="1"/>
  <c r="AD221" i="5"/>
  <c r="AE221" i="5" s="1"/>
  <c r="AD220" i="5"/>
  <c r="AE220" i="5" s="1"/>
  <c r="AD219" i="5"/>
  <c r="AE219" i="5" s="1"/>
  <c r="AD218" i="5"/>
  <c r="AE218" i="5" s="1"/>
  <c r="AD217" i="5"/>
  <c r="AE217" i="5" s="1"/>
  <c r="U226" i="5"/>
  <c r="T226" i="5"/>
  <c r="U225" i="5"/>
  <c r="T225" i="5"/>
  <c r="U224" i="5"/>
  <c r="T224" i="5"/>
  <c r="U223" i="5"/>
  <c r="T223" i="5"/>
  <c r="U222" i="5"/>
  <c r="T222" i="5"/>
  <c r="U221" i="5"/>
  <c r="T221" i="5"/>
  <c r="U220" i="5"/>
  <c r="T220" i="5"/>
  <c r="U219" i="5"/>
  <c r="T219" i="5"/>
  <c r="U218" i="5"/>
  <c r="T218" i="5"/>
  <c r="U217" i="5"/>
  <c r="T217" i="5"/>
  <c r="Q226" i="5"/>
  <c r="Q225" i="5"/>
  <c r="Q224" i="5"/>
  <c r="Q223" i="5"/>
  <c r="Q222" i="5"/>
  <c r="Q221" i="5"/>
  <c r="Q220" i="5"/>
  <c r="Q219" i="5"/>
  <c r="Q218" i="5"/>
  <c r="Q217" i="5"/>
  <c r="AL229" i="5"/>
  <c r="AK229" i="5"/>
  <c r="AI229" i="5"/>
  <c r="AH229" i="5"/>
  <c r="AL228" i="5"/>
  <c r="AK228" i="5"/>
  <c r="AI228" i="5"/>
  <c r="AH228" i="5"/>
  <c r="AL230" i="5"/>
  <c r="AK230" i="5"/>
  <c r="AI230" i="5"/>
  <c r="AH230" i="5"/>
  <c r="AL227" i="5"/>
  <c r="AK227" i="5"/>
  <c r="AI227" i="5"/>
  <c r="AH227" i="5"/>
  <c r="AD227" i="5"/>
  <c r="AE227" i="5" s="1"/>
  <c r="U227" i="5"/>
  <c r="T227" i="5"/>
  <c r="Q227" i="5"/>
  <c r="AD232" i="5"/>
  <c r="AE232" i="5" s="1"/>
  <c r="AD229" i="5"/>
  <c r="AE229" i="5" s="1"/>
  <c r="AD228" i="5"/>
  <c r="AE228" i="5" s="1"/>
  <c r="AD230" i="5"/>
  <c r="AE230" i="5" s="1"/>
  <c r="AD213" i="5"/>
  <c r="AE213" i="5" s="1"/>
  <c r="U662" i="5"/>
  <c r="U661" i="5"/>
  <c r="U660" i="5"/>
  <c r="U659" i="5"/>
  <c r="T662" i="5"/>
  <c r="T661" i="5"/>
  <c r="T660" i="5"/>
  <c r="T659" i="5"/>
  <c r="U658" i="5"/>
  <c r="U657" i="5"/>
  <c r="U656" i="5"/>
  <c r="U655" i="5"/>
  <c r="T658" i="5"/>
  <c r="T657" i="5"/>
  <c r="T656" i="5"/>
  <c r="T655" i="5"/>
  <c r="Q658" i="5"/>
  <c r="Q657" i="5"/>
  <c r="Q656" i="5"/>
  <c r="Q655" i="5"/>
  <c r="U653" i="5"/>
  <c r="U654" i="5"/>
  <c r="T654" i="5"/>
  <c r="Q654" i="5"/>
  <c r="T653" i="5"/>
  <c r="Q653" i="5"/>
  <c r="U648" i="5"/>
  <c r="T648" i="5"/>
  <c r="Q648" i="5"/>
  <c r="T647" i="5"/>
  <c r="U647" i="5"/>
  <c r="Q647" i="5"/>
  <c r="U646" i="5"/>
  <c r="T646" i="5"/>
  <c r="Q646" i="5"/>
  <c r="Q645" i="5"/>
  <c r="Q644" i="5"/>
  <c r="Q643" i="5"/>
  <c r="Q642" i="5"/>
  <c r="Q641" i="5"/>
  <c r="U645" i="5"/>
  <c r="U644" i="5"/>
  <c r="U643" i="5"/>
  <c r="U642" i="5"/>
  <c r="U641" i="5"/>
  <c r="T645" i="5"/>
  <c r="T644" i="5"/>
  <c r="T643" i="5"/>
  <c r="T642" i="5"/>
  <c r="T641" i="5"/>
  <c r="T608" i="5"/>
  <c r="Q640" i="5"/>
  <c r="Q639" i="5"/>
  <c r="T640" i="5"/>
  <c r="T639" i="5"/>
  <c r="U639" i="5"/>
  <c r="U640" i="5"/>
  <c r="U638" i="5"/>
  <c r="T638" i="5"/>
  <c r="U637" i="5"/>
  <c r="T637" i="5"/>
  <c r="U636" i="5"/>
  <c r="T636" i="5"/>
  <c r="U635" i="5"/>
  <c r="T635" i="5"/>
  <c r="U634" i="5"/>
  <c r="T634" i="5"/>
  <c r="U633" i="5"/>
  <c r="T633" i="5"/>
  <c r="U632" i="5"/>
  <c r="T632" i="5"/>
  <c r="U631" i="5"/>
  <c r="T631" i="5"/>
  <c r="U630" i="5"/>
  <c r="T630" i="5"/>
  <c r="Q638" i="5"/>
  <c r="Q637" i="5"/>
  <c r="Q636" i="5"/>
  <c r="Q635" i="5"/>
  <c r="Q634" i="5"/>
  <c r="Q633" i="5"/>
  <c r="Q632" i="5"/>
  <c r="Q631" i="5"/>
  <c r="Q630" i="5"/>
  <c r="T610" i="5"/>
  <c r="U610" i="5"/>
  <c r="Q610" i="5"/>
  <c r="AH61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AH608" i="5"/>
  <c r="AH607" i="5"/>
  <c r="AH606" i="5"/>
  <c r="AH605" i="5"/>
  <c r="T607" i="5"/>
  <c r="U607" i="5"/>
  <c r="Q607" i="5"/>
  <c r="AE608" i="5"/>
  <c r="AE607" i="5"/>
  <c r="AE606" i="5"/>
  <c r="AE605" i="5"/>
  <c r="AE604" i="5"/>
  <c r="AE603" i="5"/>
  <c r="T606" i="5"/>
  <c r="U606" i="5"/>
  <c r="Q606" i="5"/>
  <c r="T605" i="5"/>
  <c r="U605" i="5"/>
  <c r="Q605" i="5"/>
  <c r="AE602" i="5"/>
  <c r="T604" i="5"/>
  <c r="U604" i="5"/>
  <c r="Q604" i="5"/>
  <c r="AL608" i="5"/>
  <c r="AK608" i="5"/>
  <c r="AI608" i="5"/>
  <c r="AL607" i="5"/>
  <c r="AK607" i="5"/>
  <c r="AI607" i="5"/>
  <c r="AL606" i="5"/>
  <c r="AK606" i="5"/>
  <c r="AI606" i="5"/>
  <c r="AL605" i="5"/>
  <c r="AK605" i="5"/>
  <c r="AI605" i="5"/>
  <c r="AL604" i="5"/>
  <c r="AK604" i="5"/>
  <c r="AI604" i="5"/>
  <c r="AL603" i="5"/>
  <c r="AK603" i="5"/>
  <c r="AI603" i="5"/>
  <c r="AL602" i="5"/>
  <c r="AK602" i="5"/>
  <c r="AI602" i="5"/>
  <c r="T603" i="5"/>
  <c r="U603" i="5"/>
  <c r="Q603" i="5"/>
  <c r="T602" i="5"/>
  <c r="U602" i="5"/>
  <c r="Q602" i="5"/>
  <c r="Q609" i="5"/>
  <c r="AL609" i="5"/>
  <c r="AK609" i="5"/>
  <c r="AI609" i="5"/>
  <c r="AE609" i="5"/>
  <c r="U609" i="5"/>
  <c r="T609" i="5"/>
  <c r="AL580" i="5"/>
  <c r="AK580" i="5"/>
  <c r="AI580" i="5"/>
  <c r="AH580" i="5"/>
  <c r="AE580" i="5"/>
  <c r="U580" i="5"/>
  <c r="T580" i="5"/>
  <c r="Q580" i="5"/>
  <c r="AL579" i="5"/>
  <c r="AL578" i="5"/>
  <c r="AK579" i="5"/>
  <c r="AI579" i="5"/>
  <c r="AI578" i="5"/>
  <c r="AH579" i="5"/>
  <c r="AE579" i="5"/>
  <c r="AE578" i="5"/>
  <c r="AL592" i="5"/>
  <c r="AK592" i="5"/>
  <c r="AL591" i="5"/>
  <c r="AK591" i="5"/>
  <c r="AI594" i="5"/>
  <c r="AI593" i="5"/>
  <c r="AI592" i="5"/>
  <c r="AI591" i="5"/>
  <c r="AE592" i="5"/>
  <c r="AE591" i="5"/>
  <c r="U592" i="5"/>
  <c r="T592" i="5"/>
  <c r="Q592" i="5"/>
  <c r="U591" i="5"/>
  <c r="T591" i="5"/>
  <c r="Q591" i="5"/>
  <c r="AH592" i="5"/>
  <c r="AH591" i="5"/>
  <c r="AK347" i="5"/>
  <c r="AL347" i="5"/>
  <c r="AK348" i="5"/>
  <c r="AL348" i="5"/>
  <c r="AK351" i="5"/>
  <c r="AL351" i="5"/>
  <c r="AK562" i="5"/>
  <c r="AL562" i="5"/>
  <c r="AK563" i="5"/>
  <c r="AL563" i="5"/>
  <c r="AK564" i="5"/>
  <c r="AL564" i="5"/>
  <c r="AK565" i="5"/>
  <c r="AL565" i="5"/>
  <c r="AK566" i="5"/>
  <c r="AL566" i="5"/>
  <c r="AK567" i="5"/>
  <c r="AL567" i="5"/>
  <c r="AK568" i="5"/>
  <c r="AL568" i="5"/>
  <c r="AK569" i="5"/>
  <c r="AL569" i="5"/>
  <c r="AK570" i="5"/>
  <c r="AL570" i="5"/>
  <c r="AI570" i="5"/>
  <c r="AH570" i="5"/>
  <c r="U570" i="5"/>
  <c r="T570" i="5"/>
  <c r="Q570" i="5"/>
  <c r="AL601" i="5"/>
  <c r="AK601" i="5"/>
  <c r="AI601" i="5"/>
  <c r="AH601" i="5"/>
  <c r="AE601" i="5"/>
  <c r="U601" i="5"/>
  <c r="T601" i="5"/>
  <c r="Q601" i="5"/>
  <c r="AL600" i="5"/>
  <c r="AK600" i="5"/>
  <c r="AI600" i="5"/>
  <c r="AH600" i="5"/>
  <c r="AE600" i="5"/>
  <c r="U600" i="5"/>
  <c r="T600" i="5"/>
  <c r="Q600" i="5"/>
  <c r="AL599" i="5"/>
  <c r="AK599" i="5"/>
  <c r="AI599" i="5"/>
  <c r="AH599" i="5"/>
  <c r="AE599" i="5"/>
  <c r="U599" i="5"/>
  <c r="T599" i="5"/>
  <c r="Q599" i="5"/>
  <c r="AL598" i="5"/>
  <c r="AK598" i="5"/>
  <c r="AI598" i="5"/>
  <c r="AH598" i="5"/>
  <c r="AE598" i="5"/>
  <c r="U598" i="5"/>
  <c r="T598" i="5"/>
  <c r="Q598" i="5"/>
  <c r="AL597" i="5"/>
  <c r="AK597" i="5"/>
  <c r="AI597" i="5"/>
  <c r="AH597" i="5"/>
  <c r="AE597" i="5"/>
  <c r="U597" i="5"/>
  <c r="T597" i="5"/>
  <c r="Q597" i="5"/>
  <c r="AL596" i="5"/>
  <c r="AK596" i="5"/>
  <c r="AI596" i="5"/>
  <c r="AH596" i="5"/>
  <c r="AE596" i="5"/>
  <c r="U596" i="5"/>
  <c r="T596" i="5"/>
  <c r="Q596" i="5"/>
  <c r="AL595" i="5"/>
  <c r="AK595" i="5"/>
  <c r="AI595" i="5"/>
  <c r="AH595" i="5"/>
  <c r="AE595" i="5"/>
  <c r="U595" i="5"/>
  <c r="T595" i="5"/>
  <c r="Q595" i="5"/>
  <c r="U594" i="5"/>
  <c r="T594" i="5"/>
  <c r="U593" i="5"/>
  <c r="T593" i="5"/>
  <c r="Q594" i="5"/>
  <c r="Q593" i="5"/>
  <c r="U590" i="5"/>
  <c r="T590" i="5"/>
  <c r="U589" i="5"/>
  <c r="T589" i="5"/>
  <c r="U588" i="5"/>
  <c r="T588" i="5"/>
  <c r="U587" i="5"/>
  <c r="T587" i="5"/>
  <c r="U586" i="5"/>
  <c r="T586" i="5"/>
  <c r="U585" i="5"/>
  <c r="T585" i="5"/>
  <c r="U584" i="5"/>
  <c r="T584" i="5"/>
  <c r="U583" i="5"/>
  <c r="T583" i="5"/>
  <c r="U582" i="5"/>
  <c r="T582" i="5"/>
  <c r="Q590" i="5"/>
  <c r="Q589" i="5"/>
  <c r="Q588" i="5"/>
  <c r="Q587" i="5"/>
  <c r="Q586" i="5"/>
  <c r="Q585" i="5"/>
  <c r="Q584" i="5"/>
  <c r="Q583" i="5"/>
  <c r="Q582" i="5"/>
  <c r="AK578" i="5"/>
  <c r="AH578" i="5"/>
  <c r="AL573" i="5"/>
  <c r="AL572" i="5"/>
  <c r="AL571" i="5"/>
  <c r="AK573" i="5"/>
  <c r="AK572" i="5"/>
  <c r="AK571" i="5"/>
  <c r="AL594" i="5"/>
  <c r="AK594" i="5"/>
  <c r="AL593" i="5"/>
  <c r="AK593" i="5"/>
  <c r="AL590" i="5"/>
  <c r="AK590" i="5"/>
  <c r="AL589" i="5"/>
  <c r="AK589" i="5"/>
  <c r="AL588" i="5"/>
  <c r="AK588" i="5"/>
  <c r="AL587" i="5"/>
  <c r="AK587" i="5"/>
  <c r="AL586" i="5"/>
  <c r="AK586" i="5"/>
  <c r="AL585" i="5"/>
  <c r="AK585" i="5"/>
  <c r="AL584" i="5"/>
  <c r="AK584" i="5"/>
  <c r="AL583" i="5"/>
  <c r="AK583" i="5"/>
  <c r="AL582" i="5"/>
  <c r="AK582" i="5"/>
  <c r="AL581" i="5"/>
  <c r="AK581" i="5"/>
  <c r="AL577" i="5"/>
  <c r="AK577" i="5"/>
  <c r="AL576" i="5"/>
  <c r="AK576" i="5"/>
  <c r="AL575" i="5"/>
  <c r="AK575" i="5"/>
  <c r="AL574" i="5"/>
  <c r="AK574" i="5"/>
  <c r="AI590" i="5"/>
  <c r="AI589" i="5"/>
  <c r="AI588" i="5"/>
  <c r="AI587" i="5"/>
  <c r="AI586" i="5"/>
  <c r="AI585" i="5"/>
  <c r="AI584" i="5"/>
  <c r="AI583" i="5"/>
  <c r="AI582" i="5"/>
  <c r="AI581" i="5"/>
  <c r="AI577" i="5"/>
  <c r="AI576" i="5"/>
  <c r="AI575" i="5"/>
  <c r="AI574" i="5"/>
  <c r="AH604" i="5"/>
  <c r="AH603" i="5"/>
  <c r="AH602" i="5"/>
  <c r="AH609" i="5"/>
  <c r="AH594" i="5"/>
  <c r="AH593" i="5"/>
  <c r="AH590" i="5"/>
  <c r="AH589" i="5"/>
  <c r="AH588" i="5"/>
  <c r="AH587" i="5"/>
  <c r="AH586" i="5"/>
  <c r="AH585" i="5"/>
  <c r="AH584" i="5"/>
  <c r="AH583" i="5"/>
  <c r="AH582" i="5"/>
  <c r="AH581" i="5"/>
  <c r="AH577" i="5"/>
  <c r="AH576" i="5"/>
  <c r="AH575" i="5"/>
  <c r="AH574" i="5"/>
  <c r="AE594" i="5"/>
  <c r="AE593" i="5"/>
  <c r="AE590" i="5"/>
  <c r="AE589" i="5"/>
  <c r="AE588" i="5"/>
  <c r="AE587" i="5"/>
  <c r="AE586" i="5"/>
  <c r="AE585" i="5"/>
  <c r="AE584" i="5"/>
  <c r="AE583" i="5"/>
  <c r="AE582" i="5"/>
  <c r="AE581" i="5"/>
  <c r="AE577" i="5"/>
  <c r="AE576" i="5"/>
  <c r="AE575" i="5"/>
  <c r="AE574" i="5"/>
  <c r="U581" i="5"/>
  <c r="T581" i="5"/>
  <c r="Q581" i="5"/>
  <c r="U579" i="5"/>
  <c r="T579" i="5"/>
  <c r="Q579" i="5"/>
  <c r="U578" i="5"/>
  <c r="T578" i="5"/>
  <c r="Q578" i="5"/>
  <c r="U577" i="5"/>
  <c r="T577" i="5"/>
  <c r="U576" i="5"/>
  <c r="T576" i="5"/>
  <c r="U575" i="5"/>
  <c r="T575" i="5"/>
  <c r="U574" i="5"/>
  <c r="T574" i="5"/>
  <c r="Q577" i="5"/>
  <c r="Q576" i="5"/>
  <c r="Q575" i="5"/>
  <c r="Q574" i="5"/>
  <c r="AH573" i="5"/>
  <c r="AH572" i="5"/>
  <c r="AH571" i="5"/>
  <c r="AH569" i="5"/>
  <c r="AH568" i="5"/>
  <c r="AH567" i="5"/>
  <c r="AH566" i="5"/>
  <c r="AH565" i="5"/>
  <c r="AH564" i="5"/>
  <c r="AH563" i="5"/>
  <c r="AH562" i="5"/>
  <c r="AH351" i="5"/>
  <c r="AH348" i="5"/>
  <c r="AH347" i="5"/>
  <c r="AI573" i="5"/>
  <c r="AI572" i="5"/>
  <c r="AI571" i="5"/>
  <c r="AI569" i="5"/>
  <c r="AI568" i="5"/>
  <c r="AI567" i="5"/>
  <c r="AI566" i="5"/>
  <c r="AI565" i="5"/>
  <c r="AI564" i="5"/>
  <c r="AI563" i="5"/>
  <c r="AI562" i="5"/>
  <c r="AI351" i="5"/>
  <c r="AI348" i="5"/>
  <c r="AI347" i="5"/>
  <c r="U569" i="5"/>
  <c r="T569" i="5"/>
  <c r="Q569" i="5"/>
  <c r="U568" i="5"/>
  <c r="T568" i="5"/>
  <c r="Q568" i="5"/>
  <c r="U567" i="5"/>
  <c r="T567" i="5"/>
  <c r="Q567" i="5"/>
  <c r="U566" i="5"/>
  <c r="T566" i="5"/>
  <c r="Q566" i="5"/>
  <c r="U565" i="5"/>
  <c r="T565" i="5"/>
  <c r="Q565" i="5"/>
  <c r="U564" i="5"/>
  <c r="T564" i="5"/>
  <c r="Q564" i="5"/>
  <c r="U563" i="5"/>
  <c r="T563" i="5"/>
  <c r="Q563" i="5"/>
  <c r="U562" i="5"/>
  <c r="T562" i="5"/>
  <c r="Q562" i="5"/>
  <c r="U351" i="5"/>
  <c r="T351" i="5"/>
  <c r="Q351" i="5"/>
  <c r="T348" i="5"/>
  <c r="U348" i="5"/>
  <c r="Q348" i="5"/>
  <c r="U347" i="5"/>
  <c r="T347" i="5"/>
  <c r="Q347" i="5"/>
  <c r="U571" i="5"/>
  <c r="T571" i="5"/>
  <c r="Q571" i="5"/>
  <c r="T573" i="5"/>
  <c r="U573" i="5"/>
  <c r="Q573" i="5"/>
  <c r="Q572" i="5"/>
  <c r="U572" i="5"/>
  <c r="T572" i="5"/>
  <c r="T303" i="5"/>
  <c r="U303" i="5"/>
  <c r="Q303" i="5"/>
  <c r="T302" i="5"/>
  <c r="U302" i="5"/>
  <c r="Q302" i="5"/>
  <c r="Q301" i="5"/>
  <c r="U301" i="5"/>
  <c r="T301" i="5"/>
  <c r="T300" i="5"/>
  <c r="U300" i="5"/>
  <c r="Q300" i="5"/>
  <c r="Q297" i="5"/>
  <c r="Q298" i="5"/>
  <c r="Q299" i="5"/>
  <c r="T298" i="5"/>
  <c r="U298" i="5"/>
  <c r="U297" i="5"/>
  <c r="T297" i="5"/>
  <c r="U299" i="5"/>
  <c r="T299" i="5"/>
  <c r="AL270" i="5"/>
  <c r="AK270" i="5"/>
  <c r="AI270" i="5"/>
  <c r="AH270" i="5"/>
  <c r="U270" i="5"/>
  <c r="T270" i="5"/>
  <c r="Q270" i="5"/>
  <c r="U296" i="5"/>
  <c r="T296" i="5"/>
  <c r="Q296" i="5"/>
  <c r="U295" i="5"/>
  <c r="T295" i="5"/>
  <c r="Q295" i="5"/>
  <c r="AL292" i="5"/>
  <c r="AK292" i="5"/>
  <c r="AI292" i="5"/>
  <c r="AH292" i="5"/>
  <c r="U292" i="5"/>
  <c r="T292" i="5"/>
  <c r="Q292" i="5"/>
  <c r="AL290" i="5"/>
  <c r="AK290" i="5"/>
  <c r="AI290" i="5"/>
  <c r="AH290" i="5"/>
  <c r="U290" i="5"/>
  <c r="T290" i="5"/>
  <c r="Q290" i="5"/>
  <c r="AL289" i="5"/>
  <c r="AK289" i="5"/>
  <c r="AI289" i="5"/>
  <c r="AH289" i="5"/>
  <c r="U289" i="5"/>
  <c r="T289" i="5"/>
  <c r="Q289" i="5"/>
  <c r="AL288" i="5"/>
  <c r="AK288" i="5"/>
  <c r="AI288" i="5"/>
  <c r="AH288" i="5"/>
  <c r="U288" i="5"/>
  <c r="Q288" i="5"/>
  <c r="AL287" i="5"/>
  <c r="AK287" i="5"/>
  <c r="AI287" i="5"/>
  <c r="AH287" i="5"/>
  <c r="U287" i="5"/>
  <c r="Q287" i="5"/>
  <c r="AL286" i="5"/>
  <c r="AK286" i="5"/>
  <c r="AI286" i="5"/>
  <c r="AH286" i="5"/>
  <c r="U286" i="5"/>
  <c r="T286" i="5"/>
  <c r="Q286" i="5"/>
  <c r="AL285" i="5"/>
  <c r="AK285" i="5"/>
  <c r="AI285" i="5"/>
  <c r="AH285" i="5"/>
  <c r="U285" i="5"/>
  <c r="T285" i="5"/>
  <c r="Q285" i="5"/>
  <c r="AL284" i="5"/>
  <c r="AK284" i="5"/>
  <c r="AI284" i="5"/>
  <c r="AH284" i="5"/>
  <c r="U284" i="5"/>
  <c r="T284" i="5"/>
  <c r="Q284" i="5"/>
  <c r="AL283" i="5"/>
  <c r="AI283" i="5"/>
  <c r="AH283" i="5"/>
  <c r="U283" i="5"/>
  <c r="T283" i="5"/>
  <c r="Q283" i="5"/>
  <c r="AL282" i="5"/>
  <c r="AK282" i="5"/>
  <c r="AI282" i="5"/>
  <c r="AH282" i="5"/>
  <c r="U282" i="5"/>
  <c r="T282" i="5"/>
  <c r="Q282" i="5"/>
  <c r="AL279" i="5"/>
  <c r="AK279" i="5"/>
  <c r="AI279" i="5"/>
  <c r="AH279" i="5"/>
  <c r="U279" i="5"/>
  <c r="T279" i="5"/>
  <c r="Q279" i="5"/>
  <c r="AL278" i="5"/>
  <c r="AK278" i="5"/>
  <c r="AI278" i="5"/>
  <c r="AH278" i="5"/>
  <c r="U278" i="5"/>
  <c r="T278" i="5"/>
  <c r="Q278" i="5"/>
  <c r="AL277" i="5"/>
  <c r="AK277" i="5"/>
  <c r="AI277" i="5"/>
  <c r="AH277" i="5"/>
  <c r="U277" i="5"/>
  <c r="T277" i="5"/>
  <c r="Q277" i="5"/>
  <c r="AL276" i="5"/>
  <c r="AK276" i="5"/>
  <c r="AI276" i="5"/>
  <c r="AH276" i="5"/>
  <c r="U276" i="5"/>
  <c r="T276" i="5"/>
  <c r="Q276" i="5"/>
  <c r="AL275" i="5"/>
  <c r="AK275" i="5"/>
  <c r="AI275" i="5"/>
  <c r="AH275" i="5"/>
  <c r="U275" i="5"/>
  <c r="T275" i="5"/>
  <c r="Q275" i="5"/>
  <c r="AL274" i="5"/>
  <c r="AK274" i="5"/>
  <c r="AI274" i="5"/>
  <c r="AH274" i="5"/>
  <c r="U274" i="5"/>
  <c r="T274" i="5"/>
  <c r="Q274" i="5"/>
  <c r="AL273" i="5"/>
  <c r="AK273" i="5"/>
  <c r="AI273" i="5"/>
  <c r="AH273" i="5"/>
  <c r="U273" i="5"/>
  <c r="T273" i="5"/>
  <c r="Q273" i="5"/>
  <c r="AL272" i="5"/>
  <c r="AK272" i="5"/>
  <c r="AI272" i="5"/>
  <c r="AH272" i="5"/>
  <c r="U272" i="5"/>
  <c r="T272" i="5"/>
  <c r="Q272" i="5"/>
  <c r="AL271" i="5"/>
  <c r="AK271" i="5"/>
  <c r="AI271" i="5"/>
  <c r="AH271" i="5"/>
  <c r="U271" i="5"/>
  <c r="T271" i="5"/>
  <c r="Q271" i="5"/>
  <c r="AL264" i="5"/>
  <c r="AK264" i="5"/>
  <c r="AI264" i="5"/>
  <c r="AH264" i="5"/>
  <c r="U264" i="5"/>
  <c r="T264" i="5"/>
  <c r="Q264" i="5"/>
  <c r="AL253" i="5"/>
  <c r="AK253" i="5"/>
  <c r="AI253" i="5"/>
  <c r="AH253" i="5"/>
  <c r="U253" i="5"/>
  <c r="T253" i="5"/>
  <c r="Q253" i="5"/>
  <c r="AL252" i="5"/>
  <c r="AK252" i="5"/>
  <c r="AI252" i="5"/>
  <c r="AH252" i="5"/>
  <c r="U252" i="5"/>
  <c r="T252" i="5"/>
  <c r="Q252" i="5"/>
  <c r="AL261" i="5"/>
  <c r="AK261" i="5"/>
  <c r="AI261" i="5"/>
  <c r="AH261" i="5"/>
  <c r="U261" i="5"/>
  <c r="Q261" i="5"/>
  <c r="AL259" i="5"/>
  <c r="AK259" i="5"/>
  <c r="AI259" i="5"/>
  <c r="AH259" i="5"/>
  <c r="U259" i="5"/>
  <c r="T259" i="5"/>
  <c r="Q259" i="5"/>
  <c r="AL258" i="5"/>
  <c r="AK258" i="5"/>
  <c r="AI258" i="5"/>
  <c r="AH258" i="5"/>
  <c r="U258" i="5"/>
  <c r="T258" i="5"/>
  <c r="Q258" i="5"/>
  <c r="AL257" i="5"/>
  <c r="AK257" i="5"/>
  <c r="AI257" i="5"/>
  <c r="AH257" i="5"/>
  <c r="AL256" i="5"/>
  <c r="AK256" i="5"/>
  <c r="AI256" i="5"/>
  <c r="AH256" i="5"/>
  <c r="AL255" i="5"/>
  <c r="AK255" i="5"/>
  <c r="AI255" i="5"/>
  <c r="AH255" i="5"/>
  <c r="AL254" i="5"/>
  <c r="AK254" i="5"/>
  <c r="AI254" i="5"/>
  <c r="AH254" i="5"/>
  <c r="T257" i="5"/>
  <c r="U257" i="5"/>
  <c r="Q257" i="5"/>
  <c r="T256" i="5"/>
  <c r="U256" i="5"/>
  <c r="Q256" i="5"/>
  <c r="T255" i="5"/>
  <c r="U255" i="5"/>
  <c r="Q255" i="5"/>
  <c r="T254" i="5"/>
  <c r="U254" i="5"/>
  <c r="Q254" i="5"/>
  <c r="T246" i="5"/>
  <c r="U246" i="5"/>
  <c r="T247" i="5"/>
  <c r="U247" i="5"/>
  <c r="T248" i="5"/>
  <c r="U248" i="5"/>
  <c r="T249" i="5"/>
  <c r="U249" i="5"/>
  <c r="Q246" i="5"/>
  <c r="Q247" i="5"/>
  <c r="Q248" i="5"/>
  <c r="Q249" i="5"/>
  <c r="AL249" i="5"/>
  <c r="AK249" i="5"/>
  <c r="AI249" i="5"/>
  <c r="AL248" i="5"/>
  <c r="AK248" i="5"/>
  <c r="AI248" i="5"/>
  <c r="AL247" i="5"/>
  <c r="AK247" i="5"/>
  <c r="AI247" i="5"/>
  <c r="AL246" i="5"/>
  <c r="AK246" i="5"/>
  <c r="AI246" i="5"/>
  <c r="AH249" i="5"/>
  <c r="AH248" i="5"/>
  <c r="AH247" i="5"/>
  <c r="AH246" i="5"/>
  <c r="T232" i="5"/>
  <c r="Q232" i="5"/>
  <c r="AL245" i="5"/>
  <c r="AK245" i="5"/>
  <c r="AI245" i="5"/>
  <c r="AH245" i="5"/>
  <c r="U245" i="5"/>
  <c r="T245" i="5"/>
  <c r="Q245" i="5"/>
  <c r="AL244" i="5"/>
  <c r="AK244" i="5"/>
  <c r="AI244" i="5"/>
  <c r="AH244" i="5"/>
  <c r="U244" i="5"/>
  <c r="T244" i="5"/>
  <c r="Q244" i="5"/>
  <c r="AL243" i="5"/>
  <c r="AK243" i="5"/>
  <c r="AI243" i="5"/>
  <c r="AH243" i="5"/>
  <c r="U243" i="5"/>
  <c r="T243" i="5"/>
  <c r="Q243" i="5"/>
  <c r="AL242" i="5"/>
  <c r="AK242" i="5"/>
  <c r="AI242" i="5"/>
  <c r="AH242" i="5"/>
  <c r="U242" i="5"/>
  <c r="T242" i="5"/>
  <c r="AL241" i="5"/>
  <c r="AK241" i="5"/>
  <c r="AI241" i="5"/>
  <c r="AH241" i="5"/>
  <c r="U241" i="5"/>
  <c r="T241" i="5"/>
  <c r="Q241" i="5"/>
  <c r="AL232" i="5"/>
  <c r="AK232" i="5"/>
  <c r="AI232" i="5"/>
  <c r="AH232" i="5"/>
  <c r="U232" i="5"/>
  <c r="L1" i="5"/>
  <c r="Q213" i="5"/>
  <c r="T213" i="5"/>
  <c r="U213" i="5"/>
  <c r="AH213" i="5"/>
  <c r="AI213" i="5"/>
  <c r="AK213" i="5"/>
  <c r="AL213" i="5"/>
  <c r="T230" i="5"/>
  <c r="U230" i="5"/>
  <c r="T228" i="5"/>
  <c r="U228" i="5"/>
  <c r="T229" i="5"/>
  <c r="U229" i="5"/>
  <c r="AE674" i="5"/>
  <c r="AE675" i="5"/>
  <c r="AE676" i="5"/>
  <c r="AE677" i="5"/>
  <c r="AE678" i="5"/>
  <c r="AE679" i="5"/>
  <c r="AE680" i="5"/>
  <c r="AE681" i="5"/>
  <c r="AE682" i="5"/>
  <c r="AE683" i="5"/>
  <c r="AE684" i="5"/>
  <c r="AE685" i="5"/>
  <c r="AE686" i="5"/>
  <c r="AE687" i="5"/>
  <c r="AE688" i="5"/>
  <c r="AE689" i="5"/>
  <c r="AE690" i="5"/>
  <c r="AE691" i="5"/>
  <c r="T532" i="5" l="1"/>
  <c r="AE3" i="31"/>
  <c r="AB3" i="31"/>
  <c r="Q532" i="5"/>
  <c r="Q1" i="5" l="1"/>
  <c r="T533" i="5"/>
  <c r="T534" i="5" s="1"/>
  <c r="T1" i="5" s="1"/>
</calcChain>
</file>

<file path=xl/sharedStrings.xml><?xml version="1.0" encoding="utf-8"?>
<sst xmlns="http://schemas.openxmlformats.org/spreadsheetml/2006/main" count="1730" uniqueCount="229">
  <si>
    <t>Cartons</t>
  </si>
  <si>
    <t>Remarks</t>
  </si>
  <si>
    <t>Mode</t>
  </si>
  <si>
    <t>SEA</t>
  </si>
  <si>
    <t>Sub Total</t>
  </si>
  <si>
    <t>Company code</t>
  </si>
  <si>
    <t>Factory's Name</t>
  </si>
  <si>
    <t>Division</t>
  </si>
  <si>
    <t>Buyer PO#</t>
  </si>
  <si>
    <t>Order qty</t>
  </si>
  <si>
    <t>Ship Qty ( pcs )</t>
  </si>
  <si>
    <t>Pkgs / Ctns</t>
  </si>
  <si>
    <t>Buyer Currency</t>
  </si>
  <si>
    <t>Buyer Net Price</t>
  </si>
  <si>
    <t>Buyer Total Value</t>
  </si>
  <si>
    <t>Factory /  SAP Price</t>
  </si>
  <si>
    <t>Vendor Total Value</t>
  </si>
  <si>
    <t>Price Difference</t>
  </si>
  <si>
    <t>Actual Vessel Sailing date (ETD)</t>
  </si>
  <si>
    <t>BL/AWB/FCR No.</t>
  </si>
  <si>
    <t>FORWARDER</t>
  </si>
  <si>
    <t>Item</t>
  </si>
  <si>
    <t>Factory Inv No.</t>
  </si>
  <si>
    <t>Short / Extra Ship Qnty (+/-)</t>
  </si>
  <si>
    <t>Factory Pyament Due Date</t>
  </si>
  <si>
    <t xml:space="preserve">Shipment Status </t>
  </si>
  <si>
    <t>Delay Shipment</t>
  </si>
  <si>
    <t>Buyer Payment Due Date</t>
  </si>
  <si>
    <t>Factory Payment Terms (LC/TT/DA/DP) Status</t>
  </si>
  <si>
    <t>Buyer Payment Terms (LC/TT/DA/DP) Status</t>
  </si>
  <si>
    <t>FOB</t>
  </si>
  <si>
    <t>USD</t>
  </si>
  <si>
    <t>SHIPPED</t>
  </si>
  <si>
    <t>Shipment ETA (Confirm by forwarder)</t>
  </si>
  <si>
    <t>CFR</t>
  </si>
  <si>
    <t>EURO</t>
  </si>
  <si>
    <t>Vendor Terms</t>
  </si>
  <si>
    <t>FOB $</t>
  </si>
  <si>
    <t>Factory Inv/ Date</t>
  </si>
  <si>
    <t>Day of Delayed Received docs</t>
  </si>
  <si>
    <t>BL/AWB/FCR Date</t>
  </si>
  <si>
    <t>POD</t>
  </si>
  <si>
    <t>Customer Name</t>
  </si>
  <si>
    <t>Docs Due Date</t>
  </si>
  <si>
    <t>Trouser</t>
  </si>
  <si>
    <t>CNF</t>
  </si>
  <si>
    <t>Shipped</t>
  </si>
  <si>
    <t>BLOUSE</t>
  </si>
  <si>
    <t>Dress</t>
  </si>
  <si>
    <t>SHOES</t>
  </si>
  <si>
    <t>NOATUM</t>
  </si>
  <si>
    <t>JEENA &amp; CO.</t>
  </si>
  <si>
    <t>SHORTS</t>
  </si>
  <si>
    <t>Revers Factoring</t>
  </si>
  <si>
    <t>FEI</t>
  </si>
  <si>
    <t>SKIRT</t>
  </si>
  <si>
    <t>Deduction against CAF-ADP0000003417,ADP0000004295 ($200000+200000)</t>
  </si>
  <si>
    <t>MAERSK</t>
  </si>
  <si>
    <t>KAFTAN</t>
  </si>
  <si>
    <t>TOP</t>
  </si>
  <si>
    <t>Shorts</t>
  </si>
  <si>
    <t>Vessel</t>
  </si>
  <si>
    <t>Container No.</t>
  </si>
  <si>
    <t>Total $</t>
  </si>
  <si>
    <t>LCL/FCL</t>
  </si>
  <si>
    <t>Size</t>
  </si>
  <si>
    <t>Voyage</t>
  </si>
  <si>
    <t>Approval, Carting, DO date</t>
  </si>
  <si>
    <t>Actual H/o date/FCR date</t>
  </si>
  <si>
    <t>Booking date</t>
  </si>
  <si>
    <t>Apparels</t>
  </si>
  <si>
    <t>PO No.</t>
  </si>
  <si>
    <t>H/O date</t>
  </si>
  <si>
    <t>Approval date</t>
  </si>
  <si>
    <t>ship qty</t>
  </si>
  <si>
    <t>Order qnty</t>
  </si>
  <si>
    <t>estimated cartons</t>
  </si>
  <si>
    <t>estimated dimensions</t>
  </si>
  <si>
    <t>60 X 40 X 30  CMS</t>
  </si>
  <si>
    <t>Pcs per ctns</t>
  </si>
  <si>
    <t>Net weight per ctn</t>
  </si>
  <si>
    <t>Total net weight</t>
  </si>
  <si>
    <t>carton weight</t>
  </si>
  <si>
    <t>Gross weight per ctn</t>
  </si>
  <si>
    <t>Total gross weight</t>
  </si>
  <si>
    <t>Total Volume</t>
  </si>
  <si>
    <t>Freight rate is USD 12.00 per CBM</t>
  </si>
  <si>
    <t>Total qnty</t>
  </si>
  <si>
    <t>Rate per CBM</t>
  </si>
  <si>
    <t>Total volume chargable</t>
  </si>
  <si>
    <t>Total SEA freight</t>
  </si>
  <si>
    <t>Per pc freight</t>
  </si>
  <si>
    <t>Total shipment Volume</t>
  </si>
  <si>
    <t>Weight per pcs</t>
  </si>
  <si>
    <t>DO or Carting order received date</t>
  </si>
  <si>
    <t>Volume</t>
  </si>
  <si>
    <t>APD/67-24</t>
  </si>
  <si>
    <t>APD/73-24</t>
  </si>
  <si>
    <t>APD/74-24</t>
  </si>
  <si>
    <t>Payment submitted on 25-11-2024</t>
  </si>
  <si>
    <t>Buyer PO Delivery dtd</t>
  </si>
  <si>
    <t>date</t>
  </si>
  <si>
    <t xml:space="preserve">Total </t>
  </si>
  <si>
    <t>Booking No.</t>
  </si>
  <si>
    <t>Factory</t>
  </si>
  <si>
    <t>ASL05</t>
  </si>
  <si>
    <t>XLNC FASHIONS</t>
  </si>
  <si>
    <t>INDIAN ROBIN</t>
  </si>
  <si>
    <t>IR/112/25-26</t>
  </si>
  <si>
    <t>Prefix</t>
  </si>
  <si>
    <t>ROMAN ORIGINAL PLC</t>
  </si>
  <si>
    <t>D459</t>
  </si>
  <si>
    <t>Colour</t>
  </si>
  <si>
    <t>PINK</t>
  </si>
  <si>
    <t>GBP</t>
  </si>
  <si>
    <t>TT  30 days</t>
  </si>
  <si>
    <t>Final inspection date</t>
  </si>
  <si>
    <t>BLACK</t>
  </si>
  <si>
    <t>Style No.</t>
  </si>
  <si>
    <t>ASL05/002/2025-26</t>
  </si>
  <si>
    <t>D-459</t>
  </si>
  <si>
    <t>Vendor Invoice</t>
  </si>
  <si>
    <t>Auvera Studio Limited</t>
  </si>
  <si>
    <t>Black</t>
  </si>
  <si>
    <t>White</t>
  </si>
  <si>
    <t>Gross Weight  (KGS)</t>
  </si>
  <si>
    <t>Net Weight (KGS)</t>
  </si>
  <si>
    <t>Auvera Studio Limited -- Booking Sheet</t>
  </si>
  <si>
    <t>INV</t>
  </si>
  <si>
    <t>Article No.</t>
  </si>
  <si>
    <t>Unit price in GBP</t>
  </si>
  <si>
    <t>Total  price in GBP</t>
  </si>
  <si>
    <t xml:space="preserve">XLNC FASHIONS </t>
  </si>
  <si>
    <t>XL-46/25-26</t>
  </si>
  <si>
    <t>ASL05/003/2025-26</t>
  </si>
  <si>
    <t>IVORY</t>
  </si>
  <si>
    <t>LIGHT BLUE</t>
  </si>
  <si>
    <t>XL-49/25-26</t>
  </si>
  <si>
    <t>CERISE</t>
  </si>
  <si>
    <t>CHOCALTE</t>
  </si>
  <si>
    <t>ASL05/004/2025-26</t>
  </si>
  <si>
    <t>:</t>
  </si>
  <si>
    <t>shipped</t>
  </si>
  <si>
    <t>ASL</t>
  </si>
  <si>
    <t>Factory Delivery dtd</t>
  </si>
  <si>
    <t>FOB or C&amp;F</t>
  </si>
  <si>
    <t xml:space="preserve">Post shipping / Docs received from  vendor </t>
  </si>
  <si>
    <t>FELIXSTOWE, U.K.</t>
  </si>
  <si>
    <t>Pre-shipping docs sending to buyer for approval</t>
  </si>
  <si>
    <t>Buyer Approved</t>
  </si>
  <si>
    <t>Post shipping Docs share to the customer via mail</t>
  </si>
  <si>
    <t>Yelena Shyrko</t>
  </si>
  <si>
    <t>XL-50/25-26</t>
  </si>
  <si>
    <t>BLUE</t>
  </si>
  <si>
    <t>RED</t>
  </si>
  <si>
    <t>ASL05/005/2025-26</t>
  </si>
  <si>
    <t>ASL05/006/2025-26</t>
  </si>
  <si>
    <t>Booking date 13-03-2026</t>
  </si>
  <si>
    <t>Blue</t>
  </si>
  <si>
    <t>IR/119/25-26</t>
  </si>
  <si>
    <t>Auvera Inv No.</t>
  </si>
  <si>
    <t>XL-51/25-26</t>
  </si>
  <si>
    <t>YELLOW</t>
  </si>
  <si>
    <t>BRODERIE DETAIL FF MIDI DRESS</t>
  </si>
  <si>
    <t>This booking  is cancelled.</t>
  </si>
  <si>
    <t>Note :-   Please do not share any invoice received from the factory with the buyer, and kindly ensure that the attached documents are not shared with the factory..</t>
  </si>
  <si>
    <t>SOUTHAMPTON, U.K.</t>
  </si>
  <si>
    <t>NAVY</t>
  </si>
  <si>
    <t>ORANGE</t>
  </si>
  <si>
    <t>Revised booking + Approval 27-03-2026</t>
  </si>
  <si>
    <t>XL-56/25-26</t>
  </si>
  <si>
    <t>ASL05/007/2025-26</t>
  </si>
  <si>
    <t>Total GBP</t>
  </si>
  <si>
    <t xml:space="preserve">Bank charges </t>
  </si>
  <si>
    <t>Net payable amount GBP</t>
  </si>
  <si>
    <t xml:space="preserve">Ship Qty </t>
  </si>
  <si>
    <t>Factory Price</t>
  </si>
  <si>
    <t>2:-</t>
  </si>
  <si>
    <t>Docs Submitted</t>
  </si>
  <si>
    <t>Our payment due date</t>
  </si>
  <si>
    <t>Payment received</t>
  </si>
  <si>
    <t>Paid to Vendor</t>
  </si>
  <si>
    <t>Invoice-No</t>
  </si>
  <si>
    <t>Invoice date</t>
  </si>
  <si>
    <t>Supplier</t>
  </si>
  <si>
    <t>Details</t>
  </si>
  <si>
    <t>XL-02/26-27</t>
  </si>
  <si>
    <t>CRR</t>
  </si>
  <si>
    <t>AIR</t>
  </si>
  <si>
    <t>C&amp;F</t>
  </si>
  <si>
    <t>ASL05/001/2026-27</t>
  </si>
  <si>
    <t>CRIMSON</t>
  </si>
  <si>
    <t>D579</t>
  </si>
  <si>
    <t>14936708</t>
  </si>
  <si>
    <t>ASL05/002/2026-27</t>
  </si>
  <si>
    <t>GREEN</t>
  </si>
  <si>
    <t>14936734</t>
  </si>
  <si>
    <t xml:space="preserve"> CR/26-27/012</t>
  </si>
  <si>
    <t>001/2026-27</t>
  </si>
  <si>
    <t>002/2026-27</t>
  </si>
  <si>
    <t>Rick Rack Detail Midi Dress</t>
  </si>
  <si>
    <t>Auvera Studio Limited -- Booking Sheet - dtd  01-05-2026</t>
  </si>
  <si>
    <t>177116010974</t>
  </si>
  <si>
    <t>Cargo Consolidators</t>
  </si>
  <si>
    <t>MSMU8156172</t>
  </si>
  <si>
    <t>40HC</t>
  </si>
  <si>
    <t>IP619A</t>
  </si>
  <si>
    <t xml:space="preserve">MSC SINDY </t>
  </si>
  <si>
    <t>4942382992, 6686565480, 6686567355--DHL</t>
  </si>
  <si>
    <t>Actual ETA 24-06-2026</t>
  </si>
  <si>
    <t>1:-</t>
  </si>
  <si>
    <t>DHL</t>
  </si>
  <si>
    <t>COURIER - ETA-28-04-2026</t>
  </si>
  <si>
    <t>Courier</t>
  </si>
  <si>
    <t>20271008</t>
  </si>
  <si>
    <t>Star Jacquard Frill Top</t>
  </si>
  <si>
    <t>Planned</t>
  </si>
  <si>
    <t>XL-18/26-27</t>
  </si>
  <si>
    <t>003/2026-27</t>
  </si>
  <si>
    <t>ASL05/003/2026-27</t>
  </si>
  <si>
    <t>20271008-T1</t>
  </si>
  <si>
    <t xml:space="preserve"> CR/26-27/057</t>
  </si>
  <si>
    <t>004/2026-27</t>
  </si>
  <si>
    <t>10242608-T1</t>
  </si>
  <si>
    <t>CR/26-27/057</t>
  </si>
  <si>
    <t>ASL05/004/2026-27</t>
  </si>
  <si>
    <t>Gold Metallic Stripe Shirt</t>
  </si>
  <si>
    <t>Auvera Studio Limited -- Booking Sheet - dtd  19-07-2026</t>
  </si>
  <si>
    <t>10242608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</si>
</sst>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#,##0.00;[Red]#,##0.00"/>
    <numFmt numFmtId="167" formatCode="m/d/yyyy;@"/>
    <numFmt numFmtId="168" formatCode="_(* #,##0_);_(* \(#,##0\);_(* &quot;-&quot;??_);_(@_)"/>
    <numFmt numFmtId="169" formatCode="[$-10409]dd\-mmm\-yy"/>
    <numFmt numFmtId="170" formatCode="[$-10409]0;\(0\)"/>
    <numFmt numFmtId="171" formatCode="dd\/mm\/yyyy"/>
    <numFmt numFmtId="172" formatCode="[$-14009]dd/mm/yyyy;@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ourier New"/>
      <family val="3"/>
    </font>
    <font>
      <sz val="12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0"/>
      <name val="Courier New"/>
      <family val="3"/>
    </font>
    <font>
      <sz val="11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name val="Tahoma"/>
      <family val="2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4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Kumbh Sans"/>
    </font>
    <font>
      <sz val="8"/>
      <color rgb="FF000000"/>
      <name val="Kumbh Sans"/>
    </font>
    <font>
      <sz val="8"/>
      <name val="Kumbh Sans"/>
    </font>
    <font>
      <sz val="10"/>
      <name val="Kumbh Sans"/>
    </font>
    <font>
      <sz val="10"/>
      <color theme="1"/>
      <name val="Kumbh Sans"/>
    </font>
    <font>
      <sz val="10"/>
      <color indexed="8"/>
      <name val="Kumbh Sans"/>
    </font>
    <font>
      <sz val="10"/>
      <color rgb="FFFF0000"/>
      <name val="Kumbh Sans"/>
    </font>
    <font>
      <sz val="10"/>
      <color rgb="FF000000"/>
      <name val="Kumbh Sans"/>
    </font>
    <font>
      <sz val="11"/>
      <color theme="1"/>
      <name val="Kumbh Sans"/>
    </font>
    <font>
      <b/>
      <sz val="12"/>
      <color theme="1"/>
      <name val="Times New Roman"/>
      <family val="1"/>
    </font>
    <font>
      <sz val="11"/>
      <name val="Kumbh Sans"/>
    </font>
    <font>
      <sz val="11"/>
      <color indexed="8"/>
      <name val="Kumbh Sans"/>
    </font>
    <font>
      <sz val="11"/>
      <color rgb="FF000000"/>
      <name val="Kumbh Sans"/>
    </font>
    <font>
      <sz val="11"/>
      <name val="Aril"/>
    </font>
    <font>
      <u/>
      <sz val="11"/>
      <color theme="10"/>
      <name val="Calibri"/>
      <family val="2"/>
      <scheme val="minor"/>
    </font>
    <font>
      <sz val="9"/>
      <name val="Kumbh Sans"/>
    </font>
    <font>
      <sz val="11"/>
      <color rgb="FF000000"/>
      <name val="Arial"/>
      <family val="2"/>
    </font>
    <font>
      <sz val="7"/>
      <name val="Kumbh Sans"/>
    </font>
    <font>
      <u/>
      <sz val="11"/>
      <color theme="10"/>
      <name val="Kumbh Sans"/>
    </font>
    <font>
      <b/>
      <sz val="10"/>
      <color indexed="8"/>
      <name val="Kumbh Sans"/>
    </font>
    <font>
      <b/>
      <sz val="10"/>
      <name val="Kumbh Sans"/>
    </font>
    <font>
      <u/>
      <sz val="10"/>
      <color theme="10"/>
      <name val="Kumbh Sans"/>
    </font>
    <font>
      <sz val="11"/>
      <color theme="1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8"/>
      <name val="Courier New"/>
      <family val="3"/>
    </font>
    <font>
      <sz val="8"/>
      <name val="Times New Roman"/>
      <family val="1"/>
    </font>
    <font>
      <sz val="12"/>
      <name val="新細明體"/>
      <family val="1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Kumbh Sans"/>
    </font>
    <font>
      <sz val="9"/>
      <color theme="1"/>
      <name val="Calibri"/>
      <family val="2"/>
      <scheme val="minor"/>
    </font>
    <font>
      <sz val="12"/>
      <color rgb="FF000000"/>
      <name val="Aptos"/>
      <family val="2"/>
    </font>
  </fonts>
  <fills count="4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9" applyNumberFormat="0" applyAlignment="0" applyProtection="0"/>
    <xf numFmtId="0" fontId="18" fillId="28" borderId="10" applyNumberFormat="0" applyAlignment="0" applyProtection="0"/>
    <xf numFmtId="43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9" applyNumberFormat="0" applyAlignment="0" applyProtection="0"/>
    <xf numFmtId="0" fontId="25" fillId="0" borderId="14" applyNumberFormat="0" applyFill="0" applyAlignment="0" applyProtection="0"/>
    <xf numFmtId="0" fontId="26" fillId="31" borderId="0" applyNumberFormat="0" applyBorder="0" applyAlignment="0" applyProtection="0"/>
    <xf numFmtId="0" fontId="1" fillId="0" borderId="0"/>
    <xf numFmtId="0" fontId="5" fillId="0" borderId="0"/>
    <xf numFmtId="0" fontId="14" fillId="32" borderId="15" applyNumberFormat="0" applyFont="0" applyAlignment="0" applyProtection="0"/>
    <xf numFmtId="0" fontId="27" fillId="27" borderId="16" applyNumberFormat="0" applyAlignment="0" applyProtection="0"/>
    <xf numFmtId="0" fontId="11" fillId="0" borderId="0"/>
    <xf numFmtId="0" fontId="28" fillId="0" borderId="0" applyNumberFormat="0" applyFill="0" applyBorder="0" applyAlignment="0" applyProtection="0"/>
    <xf numFmtId="0" fontId="29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13" fillId="0" borderId="0"/>
    <xf numFmtId="0" fontId="5" fillId="0" borderId="0"/>
    <xf numFmtId="0" fontId="31" fillId="0" borderId="0">
      <alignment vertical="center"/>
    </xf>
    <xf numFmtId="0" fontId="1" fillId="0" borderId="0"/>
    <xf numFmtId="0" fontId="42" fillId="0" borderId="0"/>
    <xf numFmtId="0" fontId="1" fillId="0" borderId="0"/>
    <xf numFmtId="0" fontId="35" fillId="0" borderId="0" applyNumberFormat="0" applyBorder="0" applyProtection="0"/>
    <xf numFmtId="0" fontId="61" fillId="0" borderId="0" applyNumberFormat="0" applyFill="0" applyBorder="0" applyAlignment="0" applyProtection="0"/>
    <xf numFmtId="0" fontId="74" fillId="0" borderId="0"/>
  </cellStyleXfs>
  <cellXfs count="60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39" applyFont="1" applyAlignment="1">
      <alignment horizontal="center"/>
    </xf>
    <xf numFmtId="2" fontId="3" fillId="0" borderId="0" xfId="39" applyNumberFormat="1" applyFont="1" applyAlignment="1">
      <alignment horizontal="center"/>
    </xf>
    <xf numFmtId="167" fontId="2" fillId="0" borderId="0" xfId="39" applyNumberFormat="1" applyFont="1" applyAlignment="1">
      <alignment horizontal="center"/>
    </xf>
    <xf numFmtId="168" fontId="2" fillId="0" borderId="0" xfId="29" applyNumberFormat="1" applyFont="1" applyAlignment="1">
      <alignment horizontal="center"/>
    </xf>
    <xf numFmtId="0" fontId="4" fillId="0" borderId="0" xfId="39" applyFont="1" applyAlignment="1">
      <alignment horizontal="center"/>
    </xf>
    <xf numFmtId="0" fontId="5" fillId="0" borderId="0" xfId="39" applyFont="1" applyAlignment="1">
      <alignment horizontal="center"/>
    </xf>
    <xf numFmtId="0" fontId="6" fillId="0" borderId="1" xfId="0" applyFont="1" applyBorder="1" applyAlignment="1" applyProtection="1">
      <alignment horizontal="center" vertical="center" readingOrder="1"/>
      <protection locked="0"/>
    </xf>
    <xf numFmtId="2" fontId="7" fillId="0" borderId="0" xfId="39" applyNumberFormat="1" applyFont="1" applyAlignment="1">
      <alignment horizontal="center"/>
    </xf>
    <xf numFmtId="0" fontId="4" fillId="0" borderId="0" xfId="39" applyFont="1" applyAlignment="1">
      <alignment horizontal="center" vertical="center"/>
    </xf>
    <xf numFmtId="0" fontId="5" fillId="0" borderId="0" xfId="39" applyFont="1" applyAlignment="1">
      <alignment horizontal="center" vertical="center"/>
    </xf>
    <xf numFmtId="0" fontId="4" fillId="0" borderId="1" xfId="39" applyFont="1" applyBorder="1" applyAlignment="1" applyProtection="1">
      <alignment horizontal="center" vertical="center"/>
      <protection locked="0" hidden="1"/>
    </xf>
    <xf numFmtId="0" fontId="33" fillId="0" borderId="1" xfId="39" applyFont="1" applyBorder="1" applyAlignment="1">
      <alignment horizontal="center" vertical="center"/>
    </xf>
    <xf numFmtId="0" fontId="4" fillId="0" borderId="1" xfId="39" applyFont="1" applyBorder="1" applyAlignment="1">
      <alignment horizontal="center" vertical="center"/>
    </xf>
    <xf numFmtId="2" fontId="33" fillId="0" borderId="1" xfId="39" applyNumberFormat="1" applyFont="1" applyBorder="1" applyAlignment="1">
      <alignment horizontal="center" vertical="center"/>
    </xf>
    <xf numFmtId="2" fontId="4" fillId="0" borderId="1" xfId="39" applyNumberFormat="1" applyFont="1" applyBorder="1" applyAlignment="1" applyProtection="1">
      <alignment horizontal="center" vertical="center"/>
      <protection locked="0" hidden="1"/>
    </xf>
    <xf numFmtId="0" fontId="4" fillId="0" borderId="1" xfId="39" quotePrefix="1" applyFont="1" applyBorder="1" applyAlignment="1" applyProtection="1">
      <alignment horizontal="center" vertical="center"/>
      <protection locked="0" hidden="1"/>
    </xf>
    <xf numFmtId="167" fontId="4" fillId="0" borderId="1" xfId="39" applyNumberFormat="1" applyFont="1" applyBorder="1" applyAlignment="1" applyProtection="1">
      <alignment horizontal="center" vertical="center"/>
      <protection locked="0" hidden="1"/>
    </xf>
    <xf numFmtId="0" fontId="8" fillId="0" borderId="1" xfId="39" applyFont="1" applyBorder="1" applyAlignment="1" applyProtection="1">
      <alignment horizontal="center" vertical="center"/>
      <protection locked="0" hidden="1"/>
    </xf>
    <xf numFmtId="0" fontId="8" fillId="0" borderId="1" xfId="39" applyFont="1" applyBorder="1" applyAlignment="1" applyProtection="1">
      <alignment horizontal="center" vertical="center" wrapText="1"/>
      <protection locked="0" hidden="1"/>
    </xf>
    <xf numFmtId="0" fontId="8" fillId="0" borderId="1" xfId="39" applyFont="1" applyBorder="1" applyAlignment="1">
      <alignment horizontal="center" vertical="center"/>
    </xf>
    <xf numFmtId="2" fontId="8" fillId="0" borderId="1" xfId="39" applyNumberFormat="1" applyFont="1" applyBorder="1" applyAlignment="1" applyProtection="1">
      <alignment horizontal="center" vertical="center"/>
      <protection locked="0" hidden="1"/>
    </xf>
    <xf numFmtId="0" fontId="8" fillId="0" borderId="1" xfId="29" applyNumberFormat="1" applyFont="1" applyFill="1" applyBorder="1" applyAlignment="1" applyProtection="1">
      <alignment horizontal="center" vertical="center" wrapText="1"/>
      <protection locked="0" hidden="1"/>
    </xf>
    <xf numFmtId="0" fontId="34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readingOrder="1"/>
      <protection locked="0"/>
    </xf>
    <xf numFmtId="170" fontId="9" fillId="0" borderId="1" xfId="0" applyNumberFormat="1" applyFont="1" applyBorder="1" applyAlignment="1" applyProtection="1">
      <alignment horizontal="center" vertical="center" readingOrder="1"/>
      <protection locked="0"/>
    </xf>
    <xf numFmtId="2" fontId="34" fillId="0" borderId="1" xfId="39" applyNumberFormat="1" applyFont="1" applyBorder="1" applyAlignment="1">
      <alignment horizontal="center" vertical="center"/>
    </xf>
    <xf numFmtId="0" fontId="2" fillId="0" borderId="0" xfId="39" applyFont="1" applyAlignment="1" applyProtection="1">
      <alignment horizontal="center"/>
      <protection locked="0"/>
    </xf>
    <xf numFmtId="171" fontId="8" fillId="0" borderId="1" xfId="39" applyNumberFormat="1" applyFont="1" applyBorder="1" applyAlignment="1" applyProtection="1">
      <alignment horizontal="center" vertical="center"/>
      <protection locked="0" hidden="1"/>
    </xf>
    <xf numFmtId="171" fontId="4" fillId="0" borderId="1" xfId="39" applyNumberFormat="1" applyFont="1" applyBorder="1" applyAlignment="1" applyProtection="1">
      <alignment horizontal="center" vertical="center"/>
      <protection locked="0" hidden="1"/>
    </xf>
    <xf numFmtId="171" fontId="8" fillId="0" borderId="1" xfId="39" quotePrefix="1" applyNumberFormat="1" applyFont="1" applyBorder="1" applyAlignment="1" applyProtection="1">
      <alignment horizontal="center" vertical="center"/>
      <protection locked="0" hidden="1"/>
    </xf>
    <xf numFmtId="171" fontId="4" fillId="0" borderId="1" xfId="39" quotePrefix="1" applyNumberFormat="1" applyFont="1" applyBorder="1" applyAlignment="1" applyProtection="1">
      <alignment horizontal="center" vertical="center"/>
      <protection locked="0" hidden="1"/>
    </xf>
    <xf numFmtId="14" fontId="4" fillId="0" borderId="1" xfId="39" quotePrefix="1" applyNumberFormat="1" applyFont="1" applyBorder="1" applyAlignment="1" applyProtection="1">
      <alignment horizontal="center" vertical="center"/>
      <protection locked="0" hidden="1"/>
    </xf>
    <xf numFmtId="49" fontId="4" fillId="0" borderId="1" xfId="39" quotePrefix="1" applyNumberFormat="1" applyFont="1" applyBorder="1" applyAlignment="1" applyProtection="1">
      <alignment horizontal="center" vertical="center"/>
      <protection locked="0" hidden="1"/>
    </xf>
    <xf numFmtId="171" fontId="4" fillId="0" borderId="1" xfId="28" quotePrefix="1" applyNumberFormat="1" applyFont="1" applyFill="1" applyBorder="1" applyAlignment="1" applyProtection="1">
      <alignment horizontal="center" vertical="center"/>
      <protection locked="0" hidden="1"/>
    </xf>
    <xf numFmtId="171" fontId="8" fillId="0" borderId="1" xfId="29" applyNumberFormat="1" applyFont="1" applyFill="1" applyBorder="1" applyAlignment="1" applyProtection="1">
      <alignment horizontal="center" vertical="center" wrapText="1"/>
      <protection locked="0" hidden="1"/>
    </xf>
    <xf numFmtId="166" fontId="2" fillId="0" borderId="0" xfId="39" applyNumberFormat="1" applyFont="1" applyAlignment="1">
      <alignment horizontal="center"/>
    </xf>
    <xf numFmtId="0" fontId="38" fillId="0" borderId="1" xfId="0" applyFont="1" applyBorder="1" applyAlignment="1">
      <alignment horizontal="center"/>
    </xf>
    <xf numFmtId="0" fontId="3" fillId="0" borderId="0" xfId="39" applyFont="1" applyAlignment="1">
      <alignment horizontal="center"/>
    </xf>
    <xf numFmtId="0" fontId="3" fillId="34" borderId="0" xfId="39" applyFont="1" applyFill="1" applyAlignment="1">
      <alignment horizontal="center"/>
    </xf>
    <xf numFmtId="0" fontId="8" fillId="0" borderId="0" xfId="39" applyFont="1" applyAlignment="1">
      <alignment horizontal="center" vertical="center"/>
    </xf>
    <xf numFmtId="171" fontId="2" fillId="0" borderId="0" xfId="39" applyNumberFormat="1" applyFont="1" applyAlignment="1">
      <alignment horizontal="center"/>
    </xf>
    <xf numFmtId="165" fontId="2" fillId="0" borderId="0" xfId="39" applyNumberFormat="1" applyFont="1" applyAlignment="1">
      <alignment horizontal="center"/>
    </xf>
    <xf numFmtId="2" fontId="2" fillId="0" borderId="0" xfId="39" applyNumberFormat="1" applyFont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8" fillId="0" borderId="1" xfId="39" applyFont="1" applyBorder="1" applyAlignment="1" applyProtection="1">
      <alignment horizontal="center"/>
      <protection locked="0" hidden="1"/>
    </xf>
    <xf numFmtId="0" fontId="8" fillId="0" borderId="1" xfId="39" applyFont="1" applyBorder="1" applyAlignment="1">
      <alignment horizontal="center"/>
    </xf>
    <xf numFmtId="0" fontId="5" fillId="0" borderId="1" xfId="39" applyFont="1" applyBorder="1" applyAlignment="1">
      <alignment horizontal="center" vertical="center"/>
    </xf>
    <xf numFmtId="171" fontId="2" fillId="0" borderId="0" xfId="39" applyNumberFormat="1" applyFont="1" applyAlignment="1" applyProtection="1">
      <alignment horizontal="center"/>
      <protection locked="0"/>
    </xf>
    <xf numFmtId="0" fontId="34" fillId="0" borderId="1" xfId="39" applyFont="1" applyBorder="1" applyAlignment="1">
      <alignment horizontal="center" vertical="center"/>
    </xf>
    <xf numFmtId="43" fontId="2" fillId="0" borderId="0" xfId="28" applyFont="1" applyAlignment="1" applyProtection="1">
      <alignment horizontal="center"/>
      <protection locked="0"/>
    </xf>
    <xf numFmtId="171" fontId="2" fillId="0" borderId="0" xfId="28" applyNumberFormat="1" applyFont="1" applyAlignment="1" applyProtection="1">
      <alignment horizontal="center"/>
      <protection locked="0"/>
    </xf>
    <xf numFmtId="170" fontId="34" fillId="0" borderId="1" xfId="39" applyNumberFormat="1" applyFont="1" applyBorder="1" applyAlignment="1">
      <alignment horizontal="center" vertical="center"/>
    </xf>
    <xf numFmtId="0" fontId="8" fillId="0" borderId="1" xfId="39" quotePrefix="1" applyFont="1" applyBorder="1" applyAlignment="1" applyProtection="1">
      <alignment horizontal="center" vertical="center"/>
      <protection locked="0" hidden="1"/>
    </xf>
    <xf numFmtId="14" fontId="8" fillId="0" borderId="1" xfId="39" quotePrefix="1" applyNumberFormat="1" applyFont="1" applyBorder="1" applyAlignment="1" applyProtection="1">
      <alignment horizontal="center" vertical="center"/>
      <protection locked="0" hidden="1"/>
    </xf>
    <xf numFmtId="0" fontId="34" fillId="0" borderId="1" xfId="39" applyFont="1" applyBorder="1" applyAlignment="1">
      <alignment horizontal="center" vertical="center" wrapText="1"/>
    </xf>
    <xf numFmtId="171" fontId="8" fillId="0" borderId="1" xfId="28" quotePrefix="1" applyNumberFormat="1" applyFont="1" applyFill="1" applyBorder="1" applyAlignment="1" applyProtection="1">
      <alignment horizontal="center" vertical="center"/>
      <protection locked="0" hidden="1"/>
    </xf>
    <xf numFmtId="49" fontId="8" fillId="0" borderId="1" xfId="39" quotePrefix="1" applyNumberFormat="1" applyFont="1" applyBorder="1" applyAlignment="1" applyProtection="1">
      <alignment horizontal="center" vertical="center"/>
      <protection locked="0" hidden="1"/>
    </xf>
    <xf numFmtId="0" fontId="34" fillId="0" borderId="1" xfId="0" applyFont="1" applyBorder="1" applyAlignment="1">
      <alignment horizontal="center"/>
    </xf>
    <xf numFmtId="14" fontId="8" fillId="0" borderId="1" xfId="28" quotePrefix="1" applyNumberFormat="1" applyFont="1" applyFill="1" applyBorder="1" applyAlignment="1" applyProtection="1">
      <alignment horizontal="center"/>
      <protection locked="0" hidden="1"/>
    </xf>
    <xf numFmtId="171" fontId="8" fillId="0" borderId="1" xfId="28" quotePrefix="1" applyNumberFormat="1" applyFont="1" applyFill="1" applyBorder="1" applyAlignment="1" applyProtection="1">
      <alignment horizontal="center"/>
      <protection locked="0" hidden="1"/>
    </xf>
    <xf numFmtId="0" fontId="8" fillId="0" borderId="1" xfId="39" quotePrefix="1" applyFont="1" applyBorder="1" applyAlignment="1" applyProtection="1">
      <alignment horizontal="center"/>
      <protection locked="0" hidden="1"/>
    </xf>
    <xf numFmtId="171" fontId="8" fillId="0" borderId="1" xfId="39" quotePrefix="1" applyNumberFormat="1" applyFont="1" applyBorder="1" applyAlignment="1" applyProtection="1">
      <alignment horizontal="center"/>
      <protection locked="0" hidden="1"/>
    </xf>
    <xf numFmtId="49" fontId="4" fillId="0" borderId="1" xfId="39" quotePrefix="1" applyNumberFormat="1" applyFont="1" applyBorder="1" applyAlignment="1" applyProtection="1">
      <alignment horizontal="center"/>
      <protection locked="0" hidden="1"/>
    </xf>
    <xf numFmtId="0" fontId="34" fillId="0" borderId="1" xfId="39" applyFont="1" applyBorder="1" applyAlignment="1">
      <alignment horizontal="center"/>
    </xf>
    <xf numFmtId="2" fontId="8" fillId="0" borderId="1" xfId="39" applyNumberFormat="1" applyFont="1" applyBorder="1" applyAlignment="1" applyProtection="1">
      <alignment horizontal="center"/>
      <protection locked="0" hidden="1"/>
    </xf>
    <xf numFmtId="171" fontId="8" fillId="0" borderId="1" xfId="29" applyNumberFormat="1" applyFont="1" applyFill="1" applyBorder="1" applyAlignment="1" applyProtection="1">
      <alignment horizontal="center" wrapText="1"/>
      <protection locked="0" hidden="1"/>
    </xf>
    <xf numFmtId="0" fontId="8" fillId="0" borderId="1" xfId="29" applyNumberFormat="1" applyFont="1" applyFill="1" applyBorder="1" applyAlignment="1" applyProtection="1">
      <alignment horizontal="center" wrapText="1"/>
      <protection locked="0" hidden="1"/>
    </xf>
    <xf numFmtId="14" fontId="4" fillId="0" borderId="1" xfId="28" quotePrefix="1" applyNumberFormat="1" applyFont="1" applyFill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center" readingOrder="1"/>
      <protection locked="0"/>
    </xf>
    <xf numFmtId="2" fontId="34" fillId="0" borderId="1" xfId="39" applyNumberFormat="1" applyFont="1" applyBorder="1" applyAlignment="1">
      <alignment horizontal="center"/>
    </xf>
    <xf numFmtId="49" fontId="4" fillId="0" borderId="1" xfId="28" quotePrefix="1" applyNumberFormat="1" applyFont="1" applyFill="1" applyBorder="1" applyAlignment="1" applyProtection="1">
      <alignment horizontal="center" vertical="center"/>
      <protection locked="0" hidden="1"/>
    </xf>
    <xf numFmtId="0" fontId="10" fillId="0" borderId="1" xfId="39" applyFont="1" applyBorder="1" applyAlignment="1" applyProtection="1">
      <alignment horizontal="center" vertical="center"/>
      <protection locked="0" hidden="1"/>
    </xf>
    <xf numFmtId="49" fontId="4" fillId="0" borderId="1" xfId="39" applyNumberFormat="1" applyFont="1" applyBorder="1" applyAlignment="1" applyProtection="1">
      <alignment horizontal="center" vertical="center"/>
      <protection locked="0" hidden="1"/>
    </xf>
    <xf numFmtId="170" fontId="9" fillId="0" borderId="1" xfId="0" applyNumberFormat="1" applyFont="1" applyBorder="1" applyAlignment="1" applyProtection="1">
      <alignment horizontal="center" readingOrder="1"/>
      <protection locked="0"/>
    </xf>
    <xf numFmtId="0" fontId="4" fillId="0" borderId="1" xfId="39" applyFont="1" applyBorder="1" applyAlignment="1" applyProtection="1">
      <alignment horizontal="center"/>
      <protection locked="0" hidden="1"/>
    </xf>
    <xf numFmtId="49" fontId="4" fillId="0" borderId="1" xfId="39" applyNumberFormat="1" applyFont="1" applyBorder="1" applyAlignment="1" applyProtection="1">
      <alignment horizontal="center"/>
      <protection locked="0" hidden="1"/>
    </xf>
    <xf numFmtId="49" fontId="4" fillId="0" borderId="1" xfId="28" quotePrefix="1" applyNumberFormat="1" applyFont="1" applyFill="1" applyBorder="1" applyAlignment="1" applyProtection="1">
      <alignment horizontal="center"/>
      <protection locked="0" hidden="1"/>
    </xf>
    <xf numFmtId="0" fontId="4" fillId="0" borderId="1" xfId="39" quotePrefix="1" applyFont="1" applyBorder="1" applyAlignment="1" applyProtection="1">
      <alignment horizontal="center"/>
      <protection locked="0" hidden="1"/>
    </xf>
    <xf numFmtId="14" fontId="8" fillId="0" borderId="1" xfId="39" quotePrefix="1" applyNumberFormat="1" applyFont="1" applyBorder="1" applyAlignment="1" applyProtection="1">
      <alignment horizontal="center"/>
      <protection locked="0" hidden="1"/>
    </xf>
    <xf numFmtId="14" fontId="4" fillId="0" borderId="1" xfId="39" quotePrefix="1" applyNumberFormat="1" applyFont="1" applyBorder="1" applyAlignment="1" applyProtection="1">
      <alignment horizontal="center"/>
      <protection locked="0" hidden="1"/>
    </xf>
    <xf numFmtId="0" fontId="33" fillId="0" borderId="1" xfId="39" applyFont="1" applyBorder="1" applyAlignment="1">
      <alignment horizontal="center"/>
    </xf>
    <xf numFmtId="167" fontId="4" fillId="0" borderId="1" xfId="39" applyNumberFormat="1" applyFont="1" applyBorder="1" applyAlignment="1" applyProtection="1">
      <alignment horizontal="center"/>
      <protection locked="0" hidden="1"/>
    </xf>
    <xf numFmtId="0" fontId="8" fillId="0" borderId="1" xfId="39" applyFont="1" applyBorder="1" applyAlignment="1" applyProtection="1">
      <alignment horizontal="center" wrapText="1"/>
      <protection locked="0" hidden="1"/>
    </xf>
    <xf numFmtId="2" fontId="33" fillId="0" borderId="7" xfId="39" applyNumberFormat="1" applyFont="1" applyBorder="1" applyAlignment="1">
      <alignment horizontal="center" vertical="center"/>
    </xf>
    <xf numFmtId="2" fontId="4" fillId="0" borderId="7" xfId="39" applyNumberFormat="1" applyFont="1" applyBorder="1" applyAlignment="1" applyProtection="1">
      <alignment horizontal="center" vertical="center"/>
      <protection locked="0" hidden="1"/>
    </xf>
    <xf numFmtId="0" fontId="4" fillId="0" borderId="7" xfId="39" applyFont="1" applyBorder="1" applyAlignment="1" applyProtection="1">
      <alignment horizontal="center" vertical="center"/>
      <protection locked="0" hidden="1"/>
    </xf>
    <xf numFmtId="171" fontId="4" fillId="0" borderId="7" xfId="39" applyNumberFormat="1" applyFont="1" applyBorder="1" applyAlignment="1" applyProtection="1">
      <alignment horizontal="center" vertical="center"/>
      <protection locked="0" hidden="1"/>
    </xf>
    <xf numFmtId="49" fontId="4" fillId="0" borderId="7" xfId="28" quotePrefix="1" applyNumberFormat="1" applyFont="1" applyFill="1" applyBorder="1" applyAlignment="1" applyProtection="1">
      <alignment horizontal="center" vertical="center"/>
      <protection locked="0" hidden="1"/>
    </xf>
    <xf numFmtId="0" fontId="4" fillId="0" borderId="7" xfId="39" quotePrefix="1" applyFont="1" applyBorder="1" applyAlignment="1" applyProtection="1">
      <alignment horizontal="center" vertical="center"/>
      <protection locked="0" hidden="1"/>
    </xf>
    <xf numFmtId="171" fontId="4" fillId="0" borderId="7" xfId="39" quotePrefix="1" applyNumberFormat="1" applyFont="1" applyBorder="1" applyAlignment="1" applyProtection="1">
      <alignment horizontal="center" vertical="center"/>
      <protection locked="0" hidden="1"/>
    </xf>
    <xf numFmtId="14" fontId="4" fillId="0" borderId="7" xfId="39" quotePrefix="1" applyNumberFormat="1" applyFont="1" applyBorder="1" applyAlignment="1" applyProtection="1">
      <alignment horizontal="center" vertical="center"/>
      <protection locked="0" hidden="1"/>
    </xf>
    <xf numFmtId="49" fontId="4" fillId="0" borderId="7" xfId="39" quotePrefix="1" applyNumberFormat="1" applyFont="1" applyBorder="1" applyAlignment="1" applyProtection="1">
      <alignment horizontal="center" vertical="center"/>
      <protection locked="0" hidden="1"/>
    </xf>
    <xf numFmtId="0" fontId="33" fillId="0" borderId="7" xfId="39" applyFont="1" applyBorder="1" applyAlignment="1">
      <alignment horizontal="center" vertical="center"/>
    </xf>
    <xf numFmtId="167" fontId="4" fillId="0" borderId="7" xfId="39" applyNumberFormat="1" applyFont="1" applyBorder="1" applyAlignment="1" applyProtection="1">
      <alignment horizontal="center" vertical="center"/>
      <protection locked="0" hidden="1"/>
    </xf>
    <xf numFmtId="170" fontId="9" fillId="0" borderId="6" xfId="0" applyNumberFormat="1" applyFont="1" applyBorder="1" applyAlignment="1" applyProtection="1">
      <alignment horizontal="center" vertical="center" readingOrder="1"/>
      <protection locked="0"/>
    </xf>
    <xf numFmtId="2" fontId="8" fillId="0" borderId="6" xfId="39" applyNumberFormat="1" applyFont="1" applyBorder="1" applyAlignment="1" applyProtection="1">
      <alignment horizontal="center" vertical="center"/>
      <protection locked="0" hidden="1"/>
    </xf>
    <xf numFmtId="2" fontId="4" fillId="0" borderId="6" xfId="39" applyNumberFormat="1" applyFont="1" applyBorder="1" applyAlignment="1" applyProtection="1">
      <alignment horizontal="center" vertical="center"/>
      <protection locked="0" hidden="1"/>
    </xf>
    <xf numFmtId="0" fontId="4" fillId="0" borderId="6" xfId="39" applyFont="1" applyBorder="1" applyAlignment="1" applyProtection="1">
      <alignment horizontal="center" vertical="center"/>
      <protection locked="0" hidden="1"/>
    </xf>
    <xf numFmtId="171" fontId="4" fillId="0" borderId="6" xfId="39" applyNumberFormat="1" applyFont="1" applyBorder="1" applyAlignment="1" applyProtection="1">
      <alignment horizontal="center" vertical="center"/>
      <protection locked="0" hidden="1"/>
    </xf>
    <xf numFmtId="14" fontId="4" fillId="0" borderId="6" xfId="39" quotePrefix="1" applyNumberFormat="1" applyFont="1" applyBorder="1" applyAlignment="1" applyProtection="1">
      <alignment horizontal="center" vertical="center"/>
      <protection locked="0" hidden="1"/>
    </xf>
    <xf numFmtId="171" fontId="4" fillId="0" borderId="6" xfId="28" quotePrefix="1" applyNumberFormat="1" applyFont="1" applyFill="1" applyBorder="1" applyAlignment="1" applyProtection="1">
      <alignment horizontal="center" vertical="center"/>
      <protection locked="0" hidden="1"/>
    </xf>
    <xf numFmtId="0" fontId="4" fillId="0" borderId="6" xfId="39" quotePrefix="1" applyFont="1" applyBorder="1" applyAlignment="1" applyProtection="1">
      <alignment horizontal="center" vertical="center"/>
      <protection locked="0" hidden="1"/>
    </xf>
    <xf numFmtId="165" fontId="5" fillId="0" borderId="0" xfId="39" applyNumberFormat="1" applyFont="1" applyAlignment="1">
      <alignment horizontal="center"/>
    </xf>
    <xf numFmtId="2" fontId="5" fillId="0" borderId="0" xfId="39" applyNumberFormat="1" applyFont="1" applyAlignment="1">
      <alignment horizontal="center"/>
    </xf>
    <xf numFmtId="171" fontId="5" fillId="0" borderId="0" xfId="39" applyNumberFormat="1" applyFont="1" applyAlignment="1">
      <alignment horizontal="center"/>
    </xf>
    <xf numFmtId="43" fontId="5" fillId="0" borderId="0" xfId="28" applyFont="1" applyAlignment="1" applyProtection="1">
      <alignment horizontal="center"/>
      <protection locked="0"/>
    </xf>
    <xf numFmtId="171" fontId="5" fillId="0" borderId="0" xfId="28" applyNumberFormat="1" applyFont="1" applyAlignment="1" applyProtection="1">
      <alignment horizontal="center"/>
      <protection locked="0"/>
    </xf>
    <xf numFmtId="0" fontId="5" fillId="0" borderId="0" xfId="39" applyFont="1" applyAlignment="1" applyProtection="1">
      <alignment horizontal="center"/>
      <protection locked="0"/>
    </xf>
    <xf numFmtId="171" fontId="5" fillId="0" borderId="0" xfId="39" applyNumberFormat="1" applyFont="1" applyAlignment="1" applyProtection="1">
      <alignment horizontal="center"/>
      <protection locked="0"/>
    </xf>
    <xf numFmtId="168" fontId="5" fillId="0" borderId="0" xfId="29" applyNumberFormat="1" applyFont="1" applyAlignment="1">
      <alignment horizontal="center"/>
    </xf>
    <xf numFmtId="167" fontId="5" fillId="34" borderId="0" xfId="39" applyNumberFormat="1" applyFont="1" applyFill="1" applyAlignment="1">
      <alignment horizontal="center"/>
    </xf>
    <xf numFmtId="0" fontId="5" fillId="34" borderId="0" xfId="39" applyFont="1" applyFill="1" applyAlignment="1">
      <alignment horizontal="center"/>
    </xf>
    <xf numFmtId="0" fontId="4" fillId="0" borderId="1" xfId="39" applyFont="1" applyBorder="1" applyAlignment="1" applyProtection="1">
      <alignment horizontal="center" vertical="center" wrapText="1"/>
      <protection locked="0" hidden="1"/>
    </xf>
    <xf numFmtId="169" fontId="9" fillId="0" borderId="1" xfId="0" applyNumberFormat="1" applyFont="1" applyBorder="1" applyAlignment="1" applyProtection="1">
      <alignment horizontal="center" vertical="center" wrapText="1" readingOrder="1"/>
      <protection locked="0"/>
    </xf>
    <xf numFmtId="171" fontId="9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34" fillId="0" borderId="1" xfId="0" applyFont="1" applyBorder="1" applyAlignment="1">
      <alignment horizontal="center" wrapText="1"/>
    </xf>
    <xf numFmtId="0" fontId="1" fillId="0" borderId="1" xfId="39" applyBorder="1" applyAlignment="1" applyProtection="1">
      <alignment horizontal="center"/>
      <protection locked="0" hidden="1"/>
    </xf>
    <xf numFmtId="14" fontId="0" fillId="0" borderId="1" xfId="0" applyNumberFormat="1" applyBorder="1" applyAlignment="1">
      <alignment horizontal="center"/>
    </xf>
    <xf numFmtId="2" fontId="34" fillId="0" borderId="6" xfId="39" applyNumberFormat="1" applyFont="1" applyBorder="1" applyAlignment="1">
      <alignment horizontal="center" vertical="center"/>
    </xf>
    <xf numFmtId="171" fontId="4" fillId="0" borderId="6" xfId="39" quotePrefix="1" applyNumberFormat="1" applyFont="1" applyBorder="1" applyAlignment="1" applyProtection="1">
      <alignment horizontal="center" vertical="center"/>
      <protection locked="0" hidden="1"/>
    </xf>
    <xf numFmtId="43" fontId="4" fillId="0" borderId="1" xfId="28" quotePrefix="1" applyFont="1" applyFill="1" applyBorder="1" applyAlignment="1" applyProtection="1">
      <alignment horizontal="center" vertical="center"/>
      <protection locked="0" hidden="1"/>
    </xf>
    <xf numFmtId="0" fontId="8" fillId="0" borderId="1" xfId="0" applyFont="1" applyBorder="1" applyAlignment="1">
      <alignment horizontal="center"/>
    </xf>
    <xf numFmtId="14" fontId="34" fillId="0" borderId="1" xfId="0" applyNumberFormat="1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/>
    </xf>
    <xf numFmtId="171" fontId="8" fillId="0" borderId="1" xfId="39" applyNumberFormat="1" applyFont="1" applyBorder="1" applyAlignment="1" applyProtection="1">
      <alignment horizontal="center"/>
      <protection locked="0" hidden="1"/>
    </xf>
    <xf numFmtId="49" fontId="8" fillId="0" borderId="1" xfId="39" quotePrefix="1" applyNumberFormat="1" applyFont="1" applyBorder="1" applyAlignment="1" applyProtection="1">
      <alignment horizontal="center"/>
      <protection locked="0" hidden="1"/>
    </xf>
    <xf numFmtId="0" fontId="8" fillId="0" borderId="0" xfId="39" applyFont="1" applyAlignment="1">
      <alignment horizontal="center"/>
    </xf>
    <xf numFmtId="0" fontId="34" fillId="0" borderId="1" xfId="39" applyFont="1" applyBorder="1" applyAlignment="1">
      <alignment horizontal="center" wrapText="1"/>
    </xf>
    <xf numFmtId="3" fontId="34" fillId="0" borderId="1" xfId="39" applyNumberFormat="1" applyFont="1" applyBorder="1" applyAlignment="1">
      <alignment horizontal="center"/>
    </xf>
    <xf numFmtId="0" fontId="8" fillId="0" borderId="4" xfId="39" applyFont="1" applyBorder="1" applyAlignment="1">
      <alignment horizontal="center"/>
    </xf>
    <xf numFmtId="14" fontId="34" fillId="0" borderId="1" xfId="39" applyNumberFormat="1" applyFont="1" applyBorder="1" applyAlignment="1">
      <alignment horizontal="center" wrapText="1"/>
    </xf>
    <xf numFmtId="171" fontId="9" fillId="0" borderId="1" xfId="0" applyNumberFormat="1" applyFont="1" applyBorder="1" applyAlignment="1" applyProtection="1">
      <alignment horizontal="center" wrapText="1" readingOrder="1"/>
      <protection locked="0"/>
    </xf>
    <xf numFmtId="0" fontId="3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169" fontId="9" fillId="0" borderId="1" xfId="0" applyNumberFormat="1" applyFont="1" applyBorder="1" applyAlignment="1" applyProtection="1">
      <alignment horizontal="center" wrapText="1" readingOrder="1"/>
      <protection locked="0"/>
    </xf>
    <xf numFmtId="0" fontId="44" fillId="0" borderId="1" xfId="39" applyFont="1" applyBorder="1" applyAlignment="1">
      <alignment horizontal="center" wrapText="1"/>
    </xf>
    <xf numFmtId="49" fontId="8" fillId="0" borderId="4" xfId="48" applyNumberFormat="1" applyFont="1" applyBorder="1" applyAlignment="1" applyProtection="1">
      <alignment horizontal="center" wrapText="1"/>
      <protection locked="0"/>
    </xf>
    <xf numFmtId="3" fontId="8" fillId="0" borderId="8" xfId="48" applyNumberFormat="1" applyFont="1" applyBorder="1" applyAlignment="1" applyProtection="1">
      <alignment horizontal="center"/>
      <protection locked="0"/>
    </xf>
    <xf numFmtId="49" fontId="8" fillId="0" borderId="1" xfId="52" applyNumberFormat="1" applyFont="1" applyBorder="1" applyAlignment="1" applyProtection="1">
      <alignment horizontal="center"/>
      <protection locked="0"/>
    </xf>
    <xf numFmtId="0" fontId="39" fillId="0" borderId="1" xfId="39" applyFont="1" applyBorder="1" applyAlignment="1" applyProtection="1">
      <alignment horizontal="center"/>
      <protection locked="0" hidden="1"/>
    </xf>
    <xf numFmtId="171" fontId="39" fillId="0" borderId="1" xfId="39" quotePrefix="1" applyNumberFormat="1" applyFont="1" applyBorder="1" applyAlignment="1" applyProtection="1">
      <alignment horizontal="center"/>
      <protection locked="0" hidden="1"/>
    </xf>
    <xf numFmtId="0" fontId="38" fillId="0" borderId="1" xfId="39" applyFont="1" applyBorder="1" applyAlignment="1">
      <alignment horizontal="center"/>
    </xf>
    <xf numFmtId="171" fontId="39" fillId="0" borderId="1" xfId="29" applyNumberFormat="1" applyFont="1" applyFill="1" applyBorder="1" applyAlignment="1" applyProtection="1">
      <alignment horizontal="center" wrapText="1"/>
      <protection locked="0" hidden="1"/>
    </xf>
    <xf numFmtId="0" fontId="39" fillId="0" borderId="1" xfId="29" applyNumberFormat="1" applyFont="1" applyFill="1" applyBorder="1" applyAlignment="1" applyProtection="1">
      <alignment horizontal="center" wrapText="1"/>
      <protection locked="0" hidden="1"/>
    </xf>
    <xf numFmtId="0" fontId="39" fillId="0" borderId="1" xfId="39" applyFont="1" applyBorder="1" applyAlignment="1" applyProtection="1">
      <alignment horizontal="center" vertical="center" wrapText="1"/>
      <protection locked="0" hidden="1"/>
    </xf>
    <xf numFmtId="0" fontId="8" fillId="0" borderId="1" xfId="52" applyFont="1" applyBorder="1" applyAlignment="1" applyProtection="1">
      <alignment horizontal="center"/>
      <protection locked="0"/>
    </xf>
    <xf numFmtId="49" fontId="12" fillId="0" borderId="4" xfId="48" quotePrefix="1" applyNumberFormat="1" applyFont="1" applyBorder="1" applyAlignment="1" applyProtection="1">
      <alignment horizontal="center" vertical="center" wrapText="1"/>
      <protection locked="0"/>
    </xf>
    <xf numFmtId="49" fontId="12" fillId="0" borderId="1" xfId="52" applyNumberFormat="1" applyFont="1" applyBorder="1" applyAlignment="1" applyProtection="1">
      <alignment horizontal="center" vertical="center"/>
      <protection locked="0"/>
    </xf>
    <xf numFmtId="0" fontId="12" fillId="0" borderId="1" xfId="48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wrapText="1"/>
    </xf>
    <xf numFmtId="0" fontId="34" fillId="0" borderId="6" xfId="39" applyFont="1" applyBorder="1" applyAlignment="1">
      <alignment horizontal="center" vertical="center" wrapText="1"/>
    </xf>
    <xf numFmtId="171" fontId="40" fillId="0" borderId="1" xfId="39" quotePrefix="1" applyNumberFormat="1" applyFont="1" applyBorder="1" applyAlignment="1" applyProtection="1">
      <alignment horizontal="center"/>
      <protection locked="0" hidden="1"/>
    </xf>
    <xf numFmtId="0" fontId="40" fillId="0" borderId="1" xfId="39" quotePrefix="1" applyFont="1" applyBorder="1" applyAlignment="1" applyProtection="1">
      <alignment horizontal="center"/>
      <protection locked="0" hidden="1"/>
    </xf>
    <xf numFmtId="0" fontId="40" fillId="0" borderId="1" xfId="39" applyFont="1" applyBorder="1" applyAlignment="1" applyProtection="1">
      <alignment horizontal="center"/>
      <protection locked="0" hidden="1"/>
    </xf>
    <xf numFmtId="0" fontId="32" fillId="0" borderId="1" xfId="39" applyFont="1" applyBorder="1" applyAlignment="1">
      <alignment horizontal="center"/>
    </xf>
    <xf numFmtId="2" fontId="40" fillId="0" borderId="1" xfId="39" applyNumberFormat="1" applyFont="1" applyBorder="1" applyAlignment="1" applyProtection="1">
      <alignment horizontal="center"/>
      <protection locked="0" hidden="1"/>
    </xf>
    <xf numFmtId="171" fontId="40" fillId="0" borderId="1" xfId="29" applyNumberFormat="1" applyFont="1" applyFill="1" applyBorder="1" applyAlignment="1" applyProtection="1">
      <alignment horizontal="center" wrapText="1"/>
      <protection locked="0" hidden="1"/>
    </xf>
    <xf numFmtId="0" fontId="40" fillId="0" borderId="1" xfId="29" applyNumberFormat="1" applyFont="1" applyFill="1" applyBorder="1" applyAlignment="1" applyProtection="1">
      <alignment horizontal="center" wrapText="1"/>
      <protection locked="0" hidden="1"/>
    </xf>
    <xf numFmtId="0" fontId="40" fillId="0" borderId="1" xfId="39" applyFont="1" applyBorder="1" applyAlignment="1" applyProtection="1">
      <alignment horizontal="center" wrapText="1"/>
      <protection locked="0" hidden="1"/>
    </xf>
    <xf numFmtId="0" fontId="39" fillId="0" borderId="1" xfId="0" applyFont="1" applyBorder="1" applyAlignment="1">
      <alignment horizontal="center"/>
    </xf>
    <xf numFmtId="2" fontId="8" fillId="0" borderId="1" xfId="52" applyNumberFormat="1" applyFont="1" applyBorder="1" applyAlignment="1" applyProtection="1">
      <alignment horizontal="center"/>
      <protection locked="0"/>
    </xf>
    <xf numFmtId="49" fontId="8" fillId="0" borderId="18" xfId="48" applyNumberFormat="1" applyFont="1" applyBorder="1" applyAlignment="1" applyProtection="1">
      <alignment horizontal="center" wrapText="1"/>
      <protection locked="0"/>
    </xf>
    <xf numFmtId="0" fontId="8" fillId="0" borderId="6" xfId="52" applyFont="1" applyBorder="1" applyAlignment="1" applyProtection="1">
      <alignment horizontal="center"/>
      <protection locked="0"/>
    </xf>
    <xf numFmtId="2" fontId="8" fillId="0" borderId="6" xfId="52" applyNumberFormat="1" applyFont="1" applyBorder="1" applyAlignment="1" applyProtection="1">
      <alignment horizontal="center"/>
      <protection locked="0"/>
    </xf>
    <xf numFmtId="49" fontId="8" fillId="0" borderId="5" xfId="52" applyNumberFormat="1" applyFont="1" applyBorder="1" applyAlignment="1" applyProtection="1">
      <alignment horizontal="center"/>
      <protection locked="0"/>
    </xf>
    <xf numFmtId="49" fontId="8" fillId="0" borderId="8" xfId="48" quotePrefix="1" applyNumberFormat="1" applyFont="1" applyBorder="1" applyAlignment="1" applyProtection="1">
      <alignment horizontal="center"/>
      <protection locked="0"/>
    </xf>
    <xf numFmtId="0" fontId="40" fillId="0" borderId="0" xfId="39" applyFont="1" applyAlignment="1">
      <alignment horizontal="center"/>
    </xf>
    <xf numFmtId="0" fontId="32" fillId="0" borderId="1" xfId="39" applyFont="1" applyBorder="1" applyAlignment="1">
      <alignment horizontal="center" wrapText="1"/>
    </xf>
    <xf numFmtId="170" fontId="45" fillId="0" borderId="1" xfId="0" applyNumberFormat="1" applyFont="1" applyBorder="1" applyAlignment="1" applyProtection="1">
      <alignment horizontal="center" readingOrder="1"/>
      <protection locked="0"/>
    </xf>
    <xf numFmtId="0" fontId="40" fillId="0" borderId="1" xfId="39" applyFont="1" applyBorder="1" applyAlignment="1">
      <alignment horizontal="center"/>
    </xf>
    <xf numFmtId="2" fontId="32" fillId="0" borderId="1" xfId="39" applyNumberFormat="1" applyFont="1" applyBorder="1" applyAlignment="1">
      <alignment horizontal="center"/>
    </xf>
    <xf numFmtId="14" fontId="40" fillId="0" borderId="1" xfId="39" quotePrefix="1" applyNumberFormat="1" applyFont="1" applyBorder="1" applyAlignment="1" applyProtection="1">
      <alignment horizontal="center"/>
      <protection locked="0" hidden="1"/>
    </xf>
    <xf numFmtId="49" fontId="40" fillId="0" borderId="1" xfId="39" quotePrefix="1" applyNumberFormat="1" applyFont="1" applyBorder="1" applyAlignment="1" applyProtection="1">
      <alignment horizontal="center"/>
      <protection locked="0" hidden="1"/>
    </xf>
    <xf numFmtId="0" fontId="45" fillId="0" borderId="1" xfId="0" applyFont="1" applyBorder="1" applyAlignment="1" applyProtection="1">
      <alignment horizontal="center" readingOrder="1"/>
      <protection locked="0"/>
    </xf>
    <xf numFmtId="171" fontId="45" fillId="0" borderId="1" xfId="0" applyNumberFormat="1" applyFont="1" applyBorder="1" applyAlignment="1" applyProtection="1">
      <alignment horizontal="center" wrapText="1" readingOrder="1"/>
      <protection locked="0"/>
    </xf>
    <xf numFmtId="171" fontId="40" fillId="0" borderId="1" xfId="39" applyNumberFormat="1" applyFont="1" applyBorder="1" applyAlignment="1" applyProtection="1">
      <alignment horizontal="center"/>
      <protection locked="0" hidden="1"/>
    </xf>
    <xf numFmtId="169" fontId="45" fillId="0" borderId="1" xfId="0" applyNumberFormat="1" applyFont="1" applyBorder="1" applyAlignment="1" applyProtection="1">
      <alignment horizontal="center" wrapText="1" readingOrder="1"/>
      <protection locked="0"/>
    </xf>
    <xf numFmtId="171" fontId="40" fillId="0" borderId="1" xfId="28" quotePrefix="1" applyNumberFormat="1" applyFont="1" applyFill="1" applyBorder="1" applyAlignment="1" applyProtection="1">
      <alignment horizontal="center"/>
      <protection locked="0" hidden="1"/>
    </xf>
    <xf numFmtId="1" fontId="40" fillId="0" borderId="1" xfId="39" applyNumberFormat="1" applyFont="1" applyBorder="1" applyAlignment="1">
      <alignment horizontal="center"/>
    </xf>
    <xf numFmtId="14" fontId="40" fillId="0" borderId="1" xfId="28" quotePrefix="1" applyNumberFormat="1" applyFont="1" applyFill="1" applyBorder="1" applyAlignment="1" applyProtection="1">
      <alignment horizontal="center"/>
      <protection locked="0" hidden="1"/>
    </xf>
    <xf numFmtId="0" fontId="46" fillId="0" borderId="0" xfId="0" applyFont="1" applyAlignment="1">
      <alignment horizontal="center" wrapText="1"/>
    </xf>
    <xf numFmtId="170" fontId="45" fillId="0" borderId="4" xfId="0" applyNumberFormat="1" applyFont="1" applyBorder="1" applyAlignment="1" applyProtection="1">
      <alignment horizontal="center" readingOrder="1"/>
      <protection locked="0"/>
    </xf>
    <xf numFmtId="2" fontId="32" fillId="0" borderId="4" xfId="39" applyNumberFormat="1" applyFont="1" applyBorder="1" applyAlignment="1">
      <alignment horizontal="center"/>
    </xf>
    <xf numFmtId="0" fontId="32" fillId="0" borderId="5" xfId="39" applyFont="1" applyBorder="1" applyAlignment="1">
      <alignment horizontal="center"/>
    </xf>
    <xf numFmtId="2" fontId="40" fillId="0" borderId="5" xfId="39" applyNumberFormat="1" applyFont="1" applyBorder="1" applyAlignment="1" applyProtection="1">
      <alignment horizontal="center"/>
      <protection locked="0" hidden="1"/>
    </xf>
    <xf numFmtId="170" fontId="45" fillId="0" borderId="7" xfId="0" applyNumberFormat="1" applyFont="1" applyBorder="1" applyAlignment="1" applyProtection="1">
      <alignment horizontal="center" readingOrder="1"/>
      <protection locked="0"/>
    </xf>
    <xf numFmtId="2" fontId="32" fillId="0" borderId="7" xfId="39" applyNumberFormat="1" applyFont="1" applyBorder="1" applyAlignment="1">
      <alignment horizontal="center"/>
    </xf>
    <xf numFmtId="170" fontId="41" fillId="35" borderId="21" xfId="0" applyNumberFormat="1" applyFont="1" applyFill="1" applyBorder="1" applyAlignment="1" applyProtection="1">
      <alignment horizontal="center" readingOrder="1"/>
      <protection locked="0"/>
    </xf>
    <xf numFmtId="0" fontId="50" fillId="0" borderId="1" xfId="39" applyFont="1" applyBorder="1" applyAlignment="1" applyProtection="1">
      <alignment horizontal="center" wrapText="1"/>
      <protection locked="0" hidden="1"/>
    </xf>
    <xf numFmtId="0" fontId="50" fillId="0" borderId="1" xfId="39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horizontal="center" vertical="center" wrapText="1"/>
    </xf>
    <xf numFmtId="0" fontId="50" fillId="0" borderId="1" xfId="39" applyFont="1" applyBorder="1" applyAlignment="1" applyProtection="1">
      <alignment horizontal="center"/>
      <protection locked="0" hidden="1"/>
    </xf>
    <xf numFmtId="0" fontId="52" fillId="0" borderId="1" xfId="0" applyFont="1" applyBorder="1" applyAlignment="1" applyProtection="1">
      <alignment horizontal="center" readingOrder="1"/>
      <protection locked="0"/>
    </xf>
    <xf numFmtId="0" fontId="50" fillId="0" borderId="1" xfId="0" applyFont="1" applyBorder="1" applyAlignment="1">
      <alignment horizontal="center"/>
    </xf>
    <xf numFmtId="171" fontId="52" fillId="0" borderId="1" xfId="0" applyNumberFormat="1" applyFont="1" applyBorder="1" applyAlignment="1" applyProtection="1">
      <alignment horizontal="center" wrapText="1" readingOrder="1"/>
      <protection locked="0"/>
    </xf>
    <xf numFmtId="170" fontId="52" fillId="0" borderId="1" xfId="0" applyNumberFormat="1" applyFont="1" applyBorder="1" applyAlignment="1" applyProtection="1">
      <alignment horizontal="center" readingOrder="1"/>
      <protection locked="0"/>
    </xf>
    <xf numFmtId="0" fontId="51" fillId="0" borderId="1" xfId="39" applyFont="1" applyBorder="1" applyAlignment="1">
      <alignment horizontal="center"/>
    </xf>
    <xf numFmtId="2" fontId="51" fillId="0" borderId="1" xfId="39" applyNumberFormat="1" applyFont="1" applyBorder="1" applyAlignment="1">
      <alignment horizontal="center"/>
    </xf>
    <xf numFmtId="2" fontId="50" fillId="0" borderId="1" xfId="39" applyNumberFormat="1" applyFont="1" applyBorder="1" applyAlignment="1" applyProtection="1">
      <alignment horizontal="center"/>
      <protection locked="0" hidden="1"/>
    </xf>
    <xf numFmtId="171" fontId="50" fillId="0" borderId="1" xfId="39" applyNumberFormat="1" applyFont="1" applyBorder="1" applyAlignment="1" applyProtection="1">
      <alignment horizontal="center"/>
      <protection locked="0" hidden="1"/>
    </xf>
    <xf numFmtId="14" fontId="50" fillId="0" borderId="1" xfId="39" quotePrefix="1" applyNumberFormat="1" applyFont="1" applyBorder="1" applyAlignment="1" applyProtection="1">
      <alignment horizontal="center"/>
      <protection locked="0" hidden="1"/>
    </xf>
    <xf numFmtId="171" fontId="50" fillId="0" borderId="1" xfId="39" quotePrefix="1" applyNumberFormat="1" applyFont="1" applyBorder="1" applyAlignment="1" applyProtection="1">
      <alignment horizontal="center"/>
      <protection locked="0" hidden="1"/>
    </xf>
    <xf numFmtId="0" fontId="50" fillId="0" borderId="1" xfId="39" quotePrefix="1" applyFont="1" applyBorder="1" applyAlignment="1" applyProtection="1">
      <alignment horizontal="center"/>
      <protection locked="0" hidden="1"/>
    </xf>
    <xf numFmtId="49" fontId="50" fillId="0" borderId="1" xfId="39" quotePrefix="1" applyNumberFormat="1" applyFont="1" applyBorder="1" applyAlignment="1" applyProtection="1">
      <alignment horizontal="center"/>
      <protection locked="0" hidden="1"/>
    </xf>
    <xf numFmtId="171" fontId="50" fillId="0" borderId="1" xfId="29" applyNumberFormat="1" applyFont="1" applyFill="1" applyBorder="1" applyAlignment="1" applyProtection="1">
      <alignment horizontal="center" wrapText="1"/>
      <protection locked="0" hidden="1"/>
    </xf>
    <xf numFmtId="0" fontId="50" fillId="0" borderId="1" xfId="29" applyNumberFormat="1" applyFont="1" applyFill="1" applyBorder="1" applyAlignment="1" applyProtection="1">
      <alignment horizontal="center" wrapText="1"/>
      <protection locked="0" hidden="1"/>
    </xf>
    <xf numFmtId="0" fontId="50" fillId="0" borderId="1" xfId="39" applyFont="1" applyBorder="1" applyAlignment="1">
      <alignment horizontal="right"/>
    </xf>
    <xf numFmtId="0" fontId="50" fillId="0" borderId="0" xfId="39" applyFont="1" applyAlignment="1">
      <alignment horizontal="center"/>
    </xf>
    <xf numFmtId="0" fontId="51" fillId="0" borderId="1" xfId="39" applyFont="1" applyBorder="1" applyAlignment="1">
      <alignment horizontal="center" wrapText="1"/>
    </xf>
    <xf numFmtId="14" fontId="51" fillId="0" borderId="1" xfId="39" applyNumberFormat="1" applyFont="1" applyBorder="1" applyAlignment="1">
      <alignment horizontal="center" wrapText="1"/>
    </xf>
    <xf numFmtId="49" fontId="50" fillId="0" borderId="1" xfId="52" applyNumberFormat="1" applyFont="1" applyBorder="1" applyAlignment="1" applyProtection="1">
      <alignment horizontal="center"/>
      <protection locked="0"/>
    </xf>
    <xf numFmtId="171" fontId="50" fillId="0" borderId="1" xfId="39" applyNumberFormat="1" applyFont="1" applyBorder="1" applyAlignment="1" applyProtection="1">
      <alignment horizontal="center" wrapText="1"/>
      <protection locked="0" hidden="1"/>
    </xf>
    <xf numFmtId="3" fontId="50" fillId="0" borderId="8" xfId="48" applyNumberFormat="1" applyFont="1" applyBorder="1" applyAlignment="1" applyProtection="1">
      <alignment horizontal="center"/>
      <protection locked="0"/>
    </xf>
    <xf numFmtId="0" fontId="50" fillId="0" borderId="1" xfId="52" applyFont="1" applyBorder="1" applyAlignment="1" applyProtection="1">
      <alignment horizontal="center"/>
      <protection locked="0"/>
    </xf>
    <xf numFmtId="14" fontId="50" fillId="0" borderId="1" xfId="28" quotePrefix="1" applyNumberFormat="1" applyFont="1" applyFill="1" applyBorder="1" applyAlignment="1" applyProtection="1">
      <alignment horizontal="center"/>
      <protection locked="0" hidden="1"/>
    </xf>
    <xf numFmtId="171" fontId="50" fillId="0" borderId="1" xfId="28" quotePrefix="1" applyNumberFormat="1" applyFont="1" applyFill="1" applyBorder="1" applyAlignment="1" applyProtection="1">
      <alignment horizontal="center"/>
      <protection locked="0" hidden="1"/>
    </xf>
    <xf numFmtId="170" fontId="51" fillId="0" borderId="1" xfId="39" applyNumberFormat="1" applyFont="1" applyBorder="1" applyAlignment="1">
      <alignment horizontal="center"/>
    </xf>
    <xf numFmtId="0" fontId="53" fillId="0" borderId="1" xfId="39" applyFont="1" applyBorder="1" applyAlignment="1" applyProtection="1">
      <alignment horizontal="center"/>
      <protection locked="0" hidden="1"/>
    </xf>
    <xf numFmtId="14" fontId="51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1" fillId="0" borderId="1" xfId="0" quotePrefix="1" applyFont="1" applyBorder="1" applyAlignment="1">
      <alignment horizontal="center"/>
    </xf>
    <xf numFmtId="49" fontId="50" fillId="0" borderId="1" xfId="48" quotePrefix="1" applyNumberFormat="1" applyFont="1" applyBorder="1" applyAlignment="1" applyProtection="1">
      <alignment horizontal="center" wrapText="1"/>
      <protection locked="0"/>
    </xf>
    <xf numFmtId="3" fontId="50" fillId="0" borderId="1" xfId="48" applyNumberFormat="1" applyFont="1" applyBorder="1" applyAlignment="1" applyProtection="1">
      <alignment horizontal="center"/>
      <protection locked="0"/>
    </xf>
    <xf numFmtId="2" fontId="50" fillId="0" borderId="1" xfId="52" applyNumberFormat="1" applyFont="1" applyBorder="1" applyAlignment="1" applyProtection="1">
      <alignment horizontal="center"/>
      <protection locked="0"/>
    </xf>
    <xf numFmtId="3" fontId="51" fillId="0" borderId="1" xfId="39" applyNumberFormat="1" applyFont="1" applyBorder="1" applyAlignment="1">
      <alignment horizontal="center"/>
    </xf>
    <xf numFmtId="0" fontId="50" fillId="0" borderId="1" xfId="0" applyFont="1" applyBorder="1" applyAlignment="1">
      <alignment horizontal="center" wrapText="1"/>
    </xf>
    <xf numFmtId="0" fontId="50" fillId="36" borderId="20" xfId="0" applyFont="1" applyFill="1" applyBorder="1" applyAlignment="1">
      <alignment horizontal="center" wrapText="1"/>
    </xf>
    <xf numFmtId="1" fontId="50" fillId="0" borderId="18" xfId="0" applyNumberFormat="1" applyFont="1" applyBorder="1" applyAlignment="1">
      <alignment horizontal="center"/>
    </xf>
    <xf numFmtId="171" fontId="50" fillId="0" borderId="1" xfId="28" applyNumberFormat="1" applyFont="1" applyFill="1" applyBorder="1" applyAlignment="1" applyProtection="1">
      <alignment horizontal="center"/>
      <protection locked="0" hidden="1"/>
    </xf>
    <xf numFmtId="49" fontId="50" fillId="0" borderId="4" xfId="48" applyNumberFormat="1" applyFont="1" applyBorder="1" applyAlignment="1" applyProtection="1">
      <alignment horizontal="center" wrapText="1"/>
      <protection locked="0"/>
    </xf>
    <xf numFmtId="2" fontId="50" fillId="0" borderId="0" xfId="39" applyNumberFormat="1" applyFont="1" applyAlignment="1">
      <alignment horizontal="center"/>
    </xf>
    <xf numFmtId="0" fontId="54" fillId="37" borderId="19" xfId="0" quotePrefix="1" applyFont="1" applyFill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36" borderId="20" xfId="0" applyFont="1" applyFill="1" applyBorder="1" applyAlignment="1">
      <alignment horizontal="center" wrapText="1"/>
    </xf>
    <xf numFmtId="0" fontId="51" fillId="0" borderId="1" xfId="0" applyFont="1" applyBorder="1" applyAlignment="1">
      <alignment horizontal="center" vertical="center"/>
    </xf>
    <xf numFmtId="0" fontId="50" fillId="0" borderId="1" xfId="39" applyFont="1" applyBorder="1" applyAlignment="1">
      <alignment horizontal="center" wrapText="1"/>
    </xf>
    <xf numFmtId="0" fontId="53" fillId="0" borderId="1" xfId="0" applyFont="1" applyBorder="1" applyAlignment="1" applyProtection="1">
      <alignment horizontal="center" readingOrder="1"/>
      <protection locked="0"/>
    </xf>
    <xf numFmtId="0" fontId="53" fillId="0" borderId="0" xfId="39" applyFont="1" applyAlignment="1">
      <alignment horizontal="center"/>
    </xf>
    <xf numFmtId="49" fontId="50" fillId="0" borderId="6" xfId="48" quotePrefix="1" applyNumberFormat="1" applyFont="1" applyBorder="1" applyAlignment="1" applyProtection="1">
      <alignment horizontal="center"/>
      <protection locked="0"/>
    </xf>
    <xf numFmtId="0" fontId="53" fillId="33" borderId="1" xfId="39" applyFont="1" applyFill="1" applyBorder="1" applyAlignment="1" applyProtection="1">
      <alignment horizontal="center"/>
      <protection locked="0" hidden="1"/>
    </xf>
    <xf numFmtId="14" fontId="51" fillId="0" borderId="1" xfId="39" quotePrefix="1" applyNumberFormat="1" applyFont="1" applyBorder="1" applyAlignment="1">
      <alignment horizontal="center" wrapText="1"/>
    </xf>
    <xf numFmtId="0" fontId="50" fillId="0" borderId="4" xfId="0" applyFont="1" applyBorder="1" applyAlignment="1">
      <alignment horizontal="center"/>
    </xf>
    <xf numFmtId="3" fontId="50" fillId="0" borderId="1" xfId="0" applyNumberFormat="1" applyFont="1" applyBorder="1" applyAlignment="1">
      <alignment horizontal="center"/>
    </xf>
    <xf numFmtId="14" fontId="50" fillId="0" borderId="1" xfId="39" quotePrefix="1" applyNumberFormat="1" applyFont="1" applyBorder="1" applyAlignment="1" applyProtection="1">
      <alignment horizontal="center"/>
      <protection hidden="1"/>
    </xf>
    <xf numFmtId="0" fontId="50" fillId="0" borderId="0" xfId="39" applyFont="1" applyAlignment="1">
      <alignment horizontal="center" vertical="center"/>
    </xf>
    <xf numFmtId="0" fontId="50" fillId="0" borderId="4" xfId="39" applyFont="1" applyBorder="1" applyAlignment="1">
      <alignment horizontal="center"/>
    </xf>
    <xf numFmtId="0" fontId="52" fillId="0" borderId="7" xfId="0" applyFont="1" applyBorder="1" applyAlignment="1">
      <alignment horizontal="center" wrapText="1"/>
    </xf>
    <xf numFmtId="0" fontId="52" fillId="0" borderId="1" xfId="52" applyFont="1" applyBorder="1" applyAlignment="1">
      <alignment horizontal="center"/>
    </xf>
    <xf numFmtId="0" fontId="54" fillId="0" borderId="1" xfId="53" applyNumberFormat="1" applyFont="1" applyBorder="1" applyAlignment="1" applyProtection="1">
      <alignment horizontal="center" shrinkToFit="1"/>
    </xf>
    <xf numFmtId="0" fontId="52" fillId="39" borderId="1" xfId="52" applyFont="1" applyFill="1" applyBorder="1" applyAlignment="1">
      <alignment horizontal="center"/>
    </xf>
    <xf numFmtId="0" fontId="52" fillId="0" borderId="5" xfId="52" applyFont="1" applyBorder="1" applyAlignment="1">
      <alignment horizontal="center"/>
    </xf>
    <xf numFmtId="0" fontId="52" fillId="39" borderId="5" xfId="52" applyFont="1" applyFill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0" fillId="0" borderId="1" xfId="0" applyFont="1" applyBorder="1" applyAlignment="1">
      <alignment horizontal="center" vertical="center"/>
    </xf>
    <xf numFmtId="0" fontId="50" fillId="0" borderId="1" xfId="39" applyFont="1" applyBorder="1" applyAlignment="1" applyProtection="1">
      <alignment horizontal="center" vertical="center"/>
      <protection locked="0" hidden="1"/>
    </xf>
    <xf numFmtId="0" fontId="52" fillId="0" borderId="1" xfId="0" applyFont="1" applyBorder="1" applyAlignment="1" applyProtection="1">
      <alignment horizontal="center" vertical="center" readingOrder="1"/>
      <protection locked="0"/>
    </xf>
    <xf numFmtId="0" fontId="50" fillId="0" borderId="1" xfId="39" applyFont="1" applyBorder="1" applyAlignment="1">
      <alignment horizontal="center" vertical="center"/>
    </xf>
    <xf numFmtId="0" fontId="51" fillId="0" borderId="1" xfId="39" applyFont="1" applyBorder="1" applyAlignment="1">
      <alignment horizontal="center" vertical="center"/>
    </xf>
    <xf numFmtId="171" fontId="52" fillId="0" borderId="1" xfId="0" applyNumberFormat="1" applyFont="1" applyBorder="1" applyAlignment="1" applyProtection="1">
      <alignment horizontal="center" vertical="center" wrapText="1" readingOrder="1"/>
      <protection locked="0"/>
    </xf>
    <xf numFmtId="170" fontId="52" fillId="0" borderId="1" xfId="0" applyNumberFormat="1" applyFont="1" applyBorder="1" applyAlignment="1" applyProtection="1">
      <alignment horizontal="center" vertical="center" readingOrder="1"/>
      <protection locked="0"/>
    </xf>
    <xf numFmtId="2" fontId="51" fillId="0" borderId="1" xfId="39" applyNumberFormat="1" applyFont="1" applyBorder="1" applyAlignment="1">
      <alignment horizontal="center" vertical="center"/>
    </xf>
    <xf numFmtId="2" fontId="50" fillId="0" borderId="1" xfId="39" applyNumberFormat="1" applyFont="1" applyBorder="1" applyAlignment="1" applyProtection="1">
      <alignment horizontal="center" vertical="center"/>
      <protection locked="0" hidden="1"/>
    </xf>
    <xf numFmtId="171" fontId="50" fillId="0" borderId="1" xfId="39" applyNumberFormat="1" applyFont="1" applyBorder="1" applyAlignment="1" applyProtection="1">
      <alignment horizontal="center" vertical="center"/>
      <protection locked="0" hidden="1"/>
    </xf>
    <xf numFmtId="0" fontId="50" fillId="0" borderId="1" xfId="39" applyFont="1" applyBorder="1" applyAlignment="1" applyProtection="1">
      <alignment horizontal="center" vertical="center" wrapText="1"/>
      <protection locked="0" hidden="1"/>
    </xf>
    <xf numFmtId="171" fontId="50" fillId="0" borderId="1" xfId="39" quotePrefix="1" applyNumberFormat="1" applyFont="1" applyBorder="1" applyAlignment="1" applyProtection="1">
      <alignment horizontal="center" vertical="center"/>
      <protection locked="0" hidden="1"/>
    </xf>
    <xf numFmtId="14" fontId="50" fillId="0" borderId="1" xfId="39" quotePrefix="1" applyNumberFormat="1" applyFont="1" applyBorder="1" applyAlignment="1" applyProtection="1">
      <alignment horizontal="center" vertical="center"/>
      <protection locked="0" hidden="1"/>
    </xf>
    <xf numFmtId="0" fontId="50" fillId="0" borderId="1" xfId="39" quotePrefix="1" applyFont="1" applyBorder="1" applyAlignment="1" applyProtection="1">
      <alignment horizontal="center" vertical="center"/>
      <protection locked="0" hidden="1"/>
    </xf>
    <xf numFmtId="49" fontId="50" fillId="0" borderId="1" xfId="39" quotePrefix="1" applyNumberFormat="1" applyFont="1" applyBorder="1" applyAlignment="1" applyProtection="1">
      <alignment horizontal="center" vertical="center"/>
      <protection locked="0" hidden="1"/>
    </xf>
    <xf numFmtId="171" fontId="50" fillId="0" borderId="1" xfId="29" applyNumberFormat="1" applyFont="1" applyFill="1" applyBorder="1" applyAlignment="1" applyProtection="1">
      <alignment horizontal="center" vertical="center" wrapText="1"/>
      <protection locked="0" hidden="1"/>
    </xf>
    <xf numFmtId="0" fontId="50" fillId="0" borderId="1" xfId="29" applyNumberFormat="1" applyFont="1" applyFill="1" applyBorder="1" applyAlignment="1" applyProtection="1">
      <alignment horizontal="center" vertical="center" wrapText="1"/>
      <protection locked="0" hidden="1"/>
    </xf>
    <xf numFmtId="0" fontId="51" fillId="0" borderId="1" xfId="39" applyFont="1" applyBorder="1" applyAlignment="1">
      <alignment horizontal="center" vertical="center" wrapText="1"/>
    </xf>
    <xf numFmtId="169" fontId="52" fillId="0" borderId="1" xfId="0" applyNumberFormat="1" applyFont="1" applyBorder="1" applyAlignment="1" applyProtection="1">
      <alignment horizontal="center" wrapText="1" readingOrder="1"/>
      <protection locked="0"/>
    </xf>
    <xf numFmtId="0" fontId="50" fillId="0" borderId="4" xfId="52" applyFont="1" applyBorder="1" applyAlignment="1" applyProtection="1">
      <alignment horizontal="center"/>
      <protection locked="0"/>
    </xf>
    <xf numFmtId="49" fontId="50" fillId="0" borderId="4" xfId="48" applyNumberFormat="1" applyFont="1" applyBorder="1" applyAlignment="1" applyProtection="1">
      <alignment horizontal="center"/>
      <protection locked="0"/>
    </xf>
    <xf numFmtId="49" fontId="50" fillId="0" borderId="1" xfId="48" quotePrefix="1" applyNumberFormat="1" applyFont="1" applyBorder="1" applyAlignment="1" applyProtection="1">
      <alignment horizontal="center"/>
      <protection locked="0"/>
    </xf>
    <xf numFmtId="0" fontId="51" fillId="36" borderId="1" xfId="0" applyFont="1" applyFill="1" applyBorder="1" applyAlignment="1">
      <alignment horizontal="center" wrapText="1"/>
    </xf>
    <xf numFmtId="14" fontId="51" fillId="0" borderId="1" xfId="39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3" fontId="51" fillId="0" borderId="1" xfId="39" applyNumberFormat="1" applyFont="1" applyBorder="1" applyAlignment="1">
      <alignment horizontal="center" vertical="center"/>
    </xf>
    <xf numFmtId="169" fontId="52" fillId="0" borderId="1" xfId="0" applyNumberFormat="1" applyFont="1" applyBorder="1" applyAlignment="1" applyProtection="1">
      <alignment horizontal="center" vertical="center" wrapText="1" readingOrder="1"/>
      <protection locked="0"/>
    </xf>
    <xf numFmtId="49" fontId="50" fillId="0" borderId="4" xfId="48" quotePrefix="1" applyNumberFormat="1" applyFont="1" applyBorder="1" applyAlignment="1" applyProtection="1">
      <alignment horizontal="center" wrapText="1"/>
      <protection locked="0"/>
    </xf>
    <xf numFmtId="49" fontId="50" fillId="0" borderId="4" xfId="48" quotePrefix="1" applyNumberFormat="1" applyFont="1" applyBorder="1" applyAlignment="1" applyProtection="1">
      <alignment horizontal="center" vertical="center" wrapText="1"/>
      <protection locked="0"/>
    </xf>
    <xf numFmtId="0" fontId="55" fillId="0" borderId="1" xfId="0" applyFont="1" applyBorder="1" applyAlignment="1">
      <alignment horizontal="center"/>
    </xf>
    <xf numFmtId="14" fontId="55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wrapText="1"/>
    </xf>
    <xf numFmtId="0" fontId="49" fillId="41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6" fillId="41" borderId="1" xfId="0" applyFont="1" applyFill="1" applyBorder="1" applyAlignment="1">
      <alignment horizontal="center"/>
    </xf>
    <xf numFmtId="0" fontId="49" fillId="41" borderId="22" xfId="0" applyFont="1" applyFill="1" applyBorder="1" applyAlignment="1">
      <alignment horizontal="center"/>
    </xf>
    <xf numFmtId="0" fontId="49" fillId="41" borderId="23" xfId="0" applyFont="1" applyFill="1" applyBorder="1" applyAlignment="1">
      <alignment horizontal="center"/>
    </xf>
    <xf numFmtId="0" fontId="49" fillId="41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46" fillId="41" borderId="2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5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14" fontId="48" fillId="0" borderId="1" xfId="0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46" fillId="0" borderId="1" xfId="0" applyFont="1" applyBorder="1"/>
    <xf numFmtId="2" fontId="56" fillId="35" borderId="21" xfId="39" applyNumberFormat="1" applyFont="1" applyFill="1" applyBorder="1" applyAlignment="1">
      <alignment horizontal="center"/>
    </xf>
    <xf numFmtId="0" fontId="57" fillId="0" borderId="1" xfId="39" applyFont="1" applyBorder="1" applyAlignment="1" applyProtection="1">
      <alignment horizontal="center"/>
      <protection locked="0" hidden="1"/>
    </xf>
    <xf numFmtId="0" fontId="58" fillId="0" borderId="1" xfId="0" applyFont="1" applyBorder="1" applyAlignment="1" applyProtection="1">
      <alignment horizontal="center" readingOrder="1"/>
      <protection locked="0"/>
    </xf>
    <xf numFmtId="0" fontId="57" fillId="0" borderId="1" xfId="39" applyFont="1" applyBorder="1" applyAlignment="1">
      <alignment horizontal="center"/>
    </xf>
    <xf numFmtId="0" fontId="57" fillId="0" borderId="1" xfId="39" applyFont="1" applyBorder="1" applyAlignment="1" applyProtection="1">
      <alignment horizontal="center" wrapText="1"/>
      <protection locked="0" hidden="1"/>
    </xf>
    <xf numFmtId="0" fontId="57" fillId="0" borderId="1" xfId="0" applyFont="1" applyBorder="1" applyAlignment="1" applyProtection="1">
      <alignment horizontal="center" readingOrder="1"/>
      <protection locked="0"/>
    </xf>
    <xf numFmtId="0" fontId="57" fillId="0" borderId="1" xfId="0" applyFont="1" applyBorder="1" applyAlignment="1">
      <alignment horizontal="center"/>
    </xf>
    <xf numFmtId="0" fontId="57" fillId="0" borderId="1" xfId="0" quotePrefix="1" applyFont="1" applyBorder="1" applyAlignment="1">
      <alignment horizontal="center" wrapText="1"/>
    </xf>
    <xf numFmtId="1" fontId="57" fillId="0" borderId="1" xfId="0" applyNumberFormat="1" applyFont="1" applyBorder="1" applyAlignment="1" applyProtection="1">
      <alignment horizontal="center"/>
      <protection locked="0"/>
    </xf>
    <xf numFmtId="0" fontId="57" fillId="0" borderId="1" xfId="52" applyFont="1" applyBorder="1" applyAlignment="1" applyProtection="1">
      <alignment horizontal="center"/>
      <protection locked="0"/>
    </xf>
    <xf numFmtId="2" fontId="55" fillId="0" borderId="1" xfId="39" applyNumberFormat="1" applyFont="1" applyBorder="1" applyAlignment="1">
      <alignment horizontal="center"/>
    </xf>
    <xf numFmtId="2" fontId="57" fillId="0" borderId="1" xfId="39" applyNumberFormat="1" applyFont="1" applyBorder="1" applyAlignment="1" applyProtection="1">
      <alignment horizontal="center"/>
      <protection locked="0" hidden="1"/>
    </xf>
    <xf numFmtId="0" fontId="57" fillId="0" borderId="1" xfId="39" quotePrefix="1" applyFont="1" applyBorder="1" applyAlignment="1" applyProtection="1">
      <alignment horizontal="center"/>
      <protection locked="0" hidden="1"/>
    </xf>
    <xf numFmtId="171" fontId="57" fillId="0" borderId="1" xfId="39" quotePrefix="1" applyNumberFormat="1" applyFont="1" applyBorder="1" applyAlignment="1" applyProtection="1">
      <alignment horizontal="center"/>
      <protection locked="0" hidden="1"/>
    </xf>
    <xf numFmtId="14" fontId="57" fillId="0" borderId="1" xfId="39" quotePrefix="1" applyNumberFormat="1" applyFont="1" applyBorder="1" applyAlignment="1" applyProtection="1">
      <alignment horizontal="center"/>
      <protection locked="0" hidden="1"/>
    </xf>
    <xf numFmtId="49" fontId="57" fillId="0" borderId="1" xfId="39" quotePrefix="1" applyNumberFormat="1" applyFont="1" applyBorder="1" applyAlignment="1" applyProtection="1">
      <alignment horizontal="center"/>
      <protection locked="0" hidden="1"/>
    </xf>
    <xf numFmtId="14" fontId="57" fillId="0" borderId="1" xfId="39" applyNumberFormat="1" applyFont="1" applyBorder="1" applyAlignment="1" applyProtection="1">
      <alignment horizontal="center"/>
      <protection locked="0" hidden="1"/>
    </xf>
    <xf numFmtId="170" fontId="55" fillId="0" borderId="1" xfId="39" applyNumberFormat="1" applyFont="1" applyBorder="1" applyAlignment="1">
      <alignment horizontal="center"/>
    </xf>
    <xf numFmtId="171" fontId="57" fillId="0" borderId="1" xfId="29" applyNumberFormat="1" applyFont="1" applyFill="1" applyBorder="1" applyAlignment="1" applyProtection="1">
      <alignment horizontal="center" wrapText="1"/>
      <protection locked="0" hidden="1"/>
    </xf>
    <xf numFmtId="0" fontId="57" fillId="0" borderId="1" xfId="29" applyNumberFormat="1" applyFont="1" applyFill="1" applyBorder="1" applyAlignment="1" applyProtection="1">
      <alignment horizontal="center" wrapText="1"/>
      <protection locked="0" hidden="1"/>
    </xf>
    <xf numFmtId="0" fontId="55" fillId="0" borderId="1" xfId="39" applyFont="1" applyBorder="1" applyAlignment="1">
      <alignment horizontal="center"/>
    </xf>
    <xf numFmtId="14" fontId="57" fillId="0" borderId="1" xfId="39" applyNumberFormat="1" applyFont="1" applyBorder="1" applyAlignment="1">
      <alignment horizontal="center"/>
    </xf>
    <xf numFmtId="0" fontId="57" fillId="0" borderId="0" xfId="39" applyFont="1" applyAlignment="1">
      <alignment horizontal="center"/>
    </xf>
    <xf numFmtId="0" fontId="59" fillId="0" borderId="1" xfId="0" applyFont="1" applyBorder="1" applyAlignment="1">
      <alignment horizontal="center"/>
    </xf>
    <xf numFmtId="49" fontId="57" fillId="0" borderId="1" xfId="0" applyNumberFormat="1" applyFont="1" applyBorder="1" applyAlignment="1" applyProtection="1">
      <alignment horizontal="center"/>
      <protection locked="0"/>
    </xf>
    <xf numFmtId="0" fontId="55" fillId="0" borderId="1" xfId="0" quotePrefix="1" applyFont="1" applyBorder="1" applyAlignment="1">
      <alignment horizontal="center"/>
    </xf>
    <xf numFmtId="1" fontId="57" fillId="0" borderId="1" xfId="0" applyNumberFormat="1" applyFont="1" applyBorder="1" applyAlignment="1">
      <alignment horizontal="center"/>
    </xf>
    <xf numFmtId="0" fontId="57" fillId="36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 wrapText="1"/>
    </xf>
    <xf numFmtId="49" fontId="57" fillId="0" borderId="1" xfId="52" applyNumberFormat="1" applyFont="1" applyBorder="1" applyAlignment="1" applyProtection="1">
      <alignment horizontal="center"/>
      <protection locked="0"/>
    </xf>
    <xf numFmtId="49" fontId="57" fillId="0" borderId="1" xfId="48" applyNumberFormat="1" applyFont="1" applyBorder="1" applyAlignment="1" applyProtection="1">
      <alignment horizontal="center" wrapText="1"/>
      <protection locked="0"/>
    </xf>
    <xf numFmtId="3" fontId="57" fillId="0" borderId="1" xfId="48" applyNumberFormat="1" applyFont="1" applyBorder="1" applyAlignment="1" applyProtection="1">
      <alignment horizontal="center"/>
      <protection locked="0"/>
    </xf>
    <xf numFmtId="2" fontId="57" fillId="0" borderId="1" xfId="52" applyNumberFormat="1" applyFont="1" applyBorder="1" applyAlignment="1" applyProtection="1">
      <alignment horizontal="center"/>
      <protection locked="0"/>
    </xf>
    <xf numFmtId="3" fontId="55" fillId="0" borderId="1" xfId="39" applyNumberFormat="1" applyFont="1" applyBorder="1" applyAlignment="1">
      <alignment horizontal="center"/>
    </xf>
    <xf numFmtId="0" fontId="55" fillId="0" borderId="1" xfId="39" applyFont="1" applyBorder="1" applyAlignment="1">
      <alignment horizontal="center" wrapText="1"/>
    </xf>
    <xf numFmtId="170" fontId="58" fillId="0" borderId="1" xfId="0" applyNumberFormat="1" applyFont="1" applyBorder="1" applyAlignment="1" applyProtection="1">
      <alignment horizontal="center" readingOrder="1"/>
      <protection locked="0"/>
    </xf>
    <xf numFmtId="49" fontId="57" fillId="0" borderId="1" xfId="40" applyNumberFormat="1" applyFont="1" applyBorder="1" applyAlignment="1" applyProtection="1">
      <alignment horizontal="center"/>
      <protection locked="0"/>
    </xf>
    <xf numFmtId="0" fontId="57" fillId="0" borderId="0" xfId="39" applyFont="1" applyAlignment="1">
      <alignment horizontal="left"/>
    </xf>
    <xf numFmtId="14" fontId="55" fillId="0" borderId="1" xfId="39" applyNumberFormat="1" applyFont="1" applyBorder="1" applyAlignment="1">
      <alignment horizontal="center" wrapText="1"/>
    </xf>
    <xf numFmtId="14" fontId="57" fillId="0" borderId="1" xfId="28" quotePrefix="1" applyNumberFormat="1" applyFont="1" applyFill="1" applyBorder="1" applyAlignment="1" applyProtection="1">
      <alignment horizontal="center"/>
      <protection locked="0" hidden="1"/>
    </xf>
    <xf numFmtId="0" fontId="57" fillId="0" borderId="1" xfId="39" applyFont="1" applyBorder="1" applyAlignment="1">
      <alignment horizontal="center" wrapText="1"/>
    </xf>
    <xf numFmtId="1" fontId="57" fillId="0" borderId="18" xfId="0" applyNumberFormat="1" applyFont="1" applyBorder="1" applyAlignment="1">
      <alignment horizontal="center"/>
    </xf>
    <xf numFmtId="49" fontId="57" fillId="0" borderId="4" xfId="48" applyNumberFormat="1" applyFont="1" applyBorder="1" applyAlignment="1" applyProtection="1">
      <alignment horizontal="center" wrapText="1"/>
      <protection locked="0"/>
    </xf>
    <xf numFmtId="0" fontId="57" fillId="0" borderId="20" xfId="0" applyFont="1" applyBorder="1" applyAlignment="1">
      <alignment horizontal="center"/>
    </xf>
    <xf numFmtId="0" fontId="57" fillId="0" borderId="20" xfId="0" applyFont="1" applyBorder="1" applyAlignment="1">
      <alignment horizontal="center" wrapText="1"/>
    </xf>
    <xf numFmtId="171" fontId="57" fillId="0" borderId="0" xfId="39" applyNumberFormat="1" applyFont="1" applyAlignment="1">
      <alignment horizontal="center"/>
    </xf>
    <xf numFmtId="171" fontId="57" fillId="0" borderId="0" xfId="39" applyNumberFormat="1" applyFont="1" applyAlignment="1">
      <alignment horizontal="left"/>
    </xf>
    <xf numFmtId="0" fontId="55" fillId="0" borderId="20" xfId="0" applyFont="1" applyBorder="1" applyAlignment="1">
      <alignment horizontal="center" wrapText="1"/>
    </xf>
    <xf numFmtId="14" fontId="57" fillId="0" borderId="1" xfId="0" applyNumberFormat="1" applyFont="1" applyBorder="1" applyAlignment="1">
      <alignment horizontal="center"/>
    </xf>
    <xf numFmtId="0" fontId="58" fillId="0" borderId="0" xfId="0" applyFont="1" applyAlignment="1" applyProtection="1">
      <alignment horizontal="center" readingOrder="1"/>
      <protection locked="0"/>
    </xf>
    <xf numFmtId="0" fontId="59" fillId="37" borderId="19" xfId="0" quotePrefix="1" applyFont="1" applyFill="1" applyBorder="1" applyAlignment="1">
      <alignment horizontal="center"/>
    </xf>
    <xf numFmtId="0" fontId="57" fillId="0" borderId="1" xfId="29" applyNumberFormat="1" applyFont="1" applyFill="1" applyBorder="1" applyAlignment="1" applyProtection="1">
      <alignment horizontal="center"/>
      <protection locked="0" hidden="1"/>
    </xf>
    <xf numFmtId="172" fontId="57" fillId="0" borderId="1" xfId="29" applyNumberFormat="1" applyFont="1" applyFill="1" applyBorder="1" applyAlignment="1" applyProtection="1">
      <alignment horizontal="center" wrapText="1"/>
      <protection locked="0" hidden="1"/>
    </xf>
    <xf numFmtId="3" fontId="60" fillId="0" borderId="1" xfId="48" applyNumberFormat="1" applyFont="1" applyBorder="1" applyAlignment="1" applyProtection="1">
      <alignment horizontal="center"/>
      <protection locked="0"/>
    </xf>
    <xf numFmtId="0" fontId="60" fillId="0" borderId="1" xfId="52" applyFont="1" applyBorder="1" applyAlignment="1" applyProtection="1">
      <alignment horizontal="center"/>
      <protection locked="0"/>
    </xf>
    <xf numFmtId="172" fontId="57" fillId="0" borderId="1" xfId="39" applyNumberFormat="1" applyFont="1" applyBorder="1" applyAlignment="1" applyProtection="1">
      <alignment horizontal="center"/>
      <protection locked="0" hidden="1"/>
    </xf>
    <xf numFmtId="0" fontId="51" fillId="0" borderId="19" xfId="0" applyFont="1" applyBorder="1" applyAlignment="1">
      <alignment horizontal="center" wrapText="1"/>
    </xf>
    <xf numFmtId="14" fontId="55" fillId="0" borderId="1" xfId="39" applyNumberFormat="1" applyFont="1" applyBorder="1" applyAlignment="1">
      <alignment horizontal="center"/>
    </xf>
    <xf numFmtId="0" fontId="0" fillId="0" borderId="4" xfId="0" applyBorder="1"/>
    <xf numFmtId="172" fontId="58" fillId="0" borderId="1" xfId="0" applyNumberFormat="1" applyFont="1" applyBorder="1" applyAlignment="1" applyProtection="1">
      <alignment horizontal="center" wrapText="1" readingOrder="1"/>
      <protection locked="0"/>
    </xf>
    <xf numFmtId="0" fontId="50" fillId="0" borderId="0" xfId="0" applyFont="1" applyAlignment="1">
      <alignment horizontal="center"/>
    </xf>
    <xf numFmtId="0" fontId="53" fillId="0" borderId="0" xfId="39" applyFont="1" applyAlignment="1">
      <alignment horizontal="center" wrapText="1"/>
    </xf>
    <xf numFmtId="14" fontId="53" fillId="33" borderId="0" xfId="39" applyNumberFormat="1" applyFont="1" applyFill="1" applyAlignment="1" applyProtection="1">
      <alignment horizontal="center"/>
      <protection locked="0" hidden="1"/>
    </xf>
    <xf numFmtId="0" fontId="50" fillId="0" borderId="0" xfId="39" applyFont="1" applyAlignment="1">
      <alignment horizontal="center" wrapText="1"/>
    </xf>
    <xf numFmtId="0" fontId="50" fillId="0" borderId="0" xfId="39" applyFont="1" applyAlignment="1" applyProtection="1">
      <alignment horizontal="center" wrapText="1"/>
      <protection locked="0" hidden="1"/>
    </xf>
    <xf numFmtId="0" fontId="37" fillId="0" borderId="0" xfId="39" applyFont="1" applyAlignment="1">
      <alignment horizontal="center" wrapText="1"/>
    </xf>
    <xf numFmtId="0" fontId="61" fillId="0" borderId="0" xfId="54" applyBorder="1" applyAlignment="1">
      <alignment horizontal="center"/>
    </xf>
    <xf numFmtId="14" fontId="57" fillId="0" borderId="0" xfId="39" applyNumberFormat="1" applyFont="1" applyAlignment="1">
      <alignment horizontal="center"/>
    </xf>
    <xf numFmtId="0" fontId="49" fillId="0" borderId="1" xfId="39" applyFont="1" applyBorder="1" applyAlignment="1">
      <alignment horizontal="center" wrapText="1"/>
    </xf>
    <xf numFmtId="0" fontId="48" fillId="0" borderId="0" xfId="0" applyFont="1" applyAlignment="1">
      <alignment horizontal="center" vertical="center"/>
    </xf>
    <xf numFmtId="0" fontId="46" fillId="0" borderId="0" xfId="0" applyFont="1"/>
    <xf numFmtId="0" fontId="51" fillId="0" borderId="4" xfId="0" applyFont="1" applyBorder="1" applyAlignment="1">
      <alignment horizontal="center"/>
    </xf>
    <xf numFmtId="0" fontId="61" fillId="0" borderId="0" xfId="54" applyAlignment="1">
      <alignment horizontal="center"/>
    </xf>
    <xf numFmtId="49" fontId="57" fillId="0" borderId="1" xfId="39" applyNumberFormat="1" applyFont="1" applyBorder="1" applyAlignment="1">
      <alignment horizontal="center"/>
    </xf>
    <xf numFmtId="0" fontId="62" fillId="0" borderId="1" xfId="39" applyFont="1" applyBorder="1" applyAlignment="1">
      <alignment horizontal="center" vertical="center" wrapText="1"/>
    </xf>
    <xf numFmtId="0" fontId="49" fillId="0" borderId="1" xfId="39" applyFont="1" applyBorder="1" applyAlignment="1" applyProtection="1">
      <alignment horizontal="center" wrapText="1"/>
      <protection locked="0" hidden="1"/>
    </xf>
    <xf numFmtId="14" fontId="57" fillId="0" borderId="1" xfId="39" applyNumberFormat="1" applyFont="1" applyBorder="1" applyAlignment="1">
      <alignment horizontal="center" wrapText="1"/>
    </xf>
    <xf numFmtId="0" fontId="62" fillId="0" borderId="1" xfId="39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170" fontId="34" fillId="0" borderId="1" xfId="39" applyNumberFormat="1" applyFont="1" applyBorder="1" applyAlignment="1">
      <alignment horizontal="center"/>
    </xf>
    <xf numFmtId="0" fontId="57" fillId="0" borderId="1" xfId="39" quotePrefix="1" applyFont="1" applyBorder="1" applyAlignment="1">
      <alignment horizontal="center"/>
    </xf>
    <xf numFmtId="0" fontId="49" fillId="0" borderId="1" xfId="39" quotePrefix="1" applyFont="1" applyBorder="1" applyAlignment="1" applyProtection="1">
      <alignment horizontal="center" wrapText="1"/>
      <protection locked="0" hidden="1"/>
    </xf>
    <xf numFmtId="0" fontId="49" fillId="0" borderId="1" xfId="39" applyFont="1" applyBorder="1" applyAlignment="1">
      <alignment horizontal="center" vertical="center" wrapText="1"/>
    </xf>
    <xf numFmtId="14" fontId="55" fillId="0" borderId="1" xfId="0" applyNumberFormat="1" applyFont="1" applyBorder="1" applyAlignment="1">
      <alignment horizontal="center" wrapText="1"/>
    </xf>
    <xf numFmtId="0" fontId="62" fillId="0" borderId="1" xfId="39" quotePrefix="1" applyFont="1" applyBorder="1" applyAlignment="1" applyProtection="1">
      <alignment horizontal="center" vertical="center" wrapText="1"/>
      <protection locked="0" hidden="1"/>
    </xf>
    <xf numFmtId="0" fontId="64" fillId="0" borderId="1" xfId="39" applyFont="1" applyBorder="1" applyAlignment="1">
      <alignment horizontal="center" vertical="center" wrapText="1"/>
    </xf>
    <xf numFmtId="14" fontId="55" fillId="0" borderId="19" xfId="0" applyNumberFormat="1" applyFont="1" applyBorder="1" applyAlignment="1">
      <alignment horizontal="center" wrapText="1"/>
    </xf>
    <xf numFmtId="0" fontId="65" fillId="0" borderId="0" xfId="54" applyFont="1" applyAlignment="1">
      <alignment horizontal="center"/>
    </xf>
    <xf numFmtId="0" fontId="55" fillId="37" borderId="1" xfId="0" applyFont="1" applyFill="1" applyBorder="1" applyAlignment="1">
      <alignment horizontal="center"/>
    </xf>
    <xf numFmtId="9" fontId="66" fillId="0" borderId="1" xfId="0" applyNumberFormat="1" applyFont="1" applyBorder="1" applyAlignment="1" applyProtection="1">
      <alignment horizontal="center" readingOrder="1"/>
      <protection locked="0"/>
    </xf>
    <xf numFmtId="2" fontId="67" fillId="0" borderId="1" xfId="39" applyNumberFormat="1" applyFont="1" applyBorder="1" applyAlignment="1" applyProtection="1">
      <alignment horizontal="center"/>
      <protection locked="0" hidden="1"/>
    </xf>
    <xf numFmtId="0" fontId="66" fillId="0" borderId="1" xfId="0" applyFont="1" applyBorder="1" applyAlignment="1" applyProtection="1">
      <alignment horizontal="center" readingOrder="1"/>
      <protection locked="0"/>
    </xf>
    <xf numFmtId="0" fontId="49" fillId="0" borderId="1" xfId="39" quotePrefix="1" applyFont="1" applyBorder="1" applyAlignment="1" applyProtection="1">
      <alignment horizontal="center" vertical="center" wrapText="1"/>
      <protection locked="0" hidden="1"/>
    </xf>
    <xf numFmtId="0" fontId="49" fillId="0" borderId="1" xfId="39" applyFont="1" applyBorder="1" applyAlignment="1" applyProtection="1">
      <alignment horizontal="center" vertical="center" wrapText="1"/>
      <protection locked="0" hidden="1"/>
    </xf>
    <xf numFmtId="0" fontId="57" fillId="0" borderId="1" xfId="0" quotePrefix="1" applyFont="1" applyBorder="1" applyAlignment="1">
      <alignment horizontal="center"/>
    </xf>
    <xf numFmtId="0" fontId="62" fillId="0" borderId="1" xfId="39" applyFont="1" applyBorder="1" applyAlignment="1" applyProtection="1">
      <alignment horizontal="center" vertical="center" wrapText="1"/>
      <protection locked="0" hidden="1"/>
    </xf>
    <xf numFmtId="0" fontId="57" fillId="0" borderId="1" xfId="0" applyFont="1" applyBorder="1" applyAlignment="1">
      <alignment horizontal="center" vertical="center"/>
    </xf>
    <xf numFmtId="171" fontId="57" fillId="0" borderId="1" xfId="28" applyNumberFormat="1" applyFont="1" applyFill="1" applyBorder="1" applyAlignment="1" applyProtection="1">
      <alignment horizontal="center"/>
      <protection locked="0" hidden="1"/>
    </xf>
    <xf numFmtId="170" fontId="57" fillId="0" borderId="1" xfId="39" applyNumberFormat="1" applyFont="1" applyBorder="1" applyAlignment="1">
      <alignment horizontal="center"/>
    </xf>
    <xf numFmtId="0" fontId="68" fillId="0" borderId="0" xfId="54" applyFont="1" applyAlignment="1">
      <alignment horizontal="center"/>
    </xf>
    <xf numFmtId="2" fontId="69" fillId="0" borderId="1" xfId="0" applyNumberFormat="1" applyFont="1" applyBorder="1" applyAlignment="1">
      <alignment horizontal="center"/>
    </xf>
    <xf numFmtId="2" fontId="57" fillId="0" borderId="1" xfId="39" applyNumberFormat="1" applyFont="1" applyBorder="1" applyAlignment="1">
      <alignment horizontal="center"/>
    </xf>
    <xf numFmtId="0" fontId="59" fillId="0" borderId="1" xfId="0" applyFont="1" applyBorder="1" applyAlignment="1">
      <alignment horizontal="center" wrapText="1" readingOrder="1"/>
    </xf>
    <xf numFmtId="2" fontId="5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57" fillId="0" borderId="1" xfId="0" applyNumberFormat="1" applyFont="1" applyBorder="1" applyAlignment="1">
      <alignment horizontal="center" vertical="center"/>
    </xf>
    <xf numFmtId="2" fontId="57" fillId="0" borderId="1" xfId="0" applyNumberFormat="1" applyFont="1" applyBorder="1" applyAlignment="1">
      <alignment horizontal="center"/>
    </xf>
    <xf numFmtId="0" fontId="57" fillId="0" borderId="1" xfId="39" applyFont="1" applyBorder="1" applyAlignment="1" applyProtection="1">
      <alignment horizontal="center" vertical="center" wrapText="1"/>
      <protection locked="0" hidden="1"/>
    </xf>
    <xf numFmtId="0" fontId="55" fillId="36" borderId="20" xfId="0" applyFont="1" applyFill="1" applyBorder="1" applyAlignment="1">
      <alignment horizontal="center" wrapText="1"/>
    </xf>
    <xf numFmtId="0" fontId="62" fillId="0" borderId="1" xfId="0" applyFont="1" applyBorder="1" applyAlignment="1">
      <alignment horizontal="center" vertical="center" wrapText="1"/>
    </xf>
    <xf numFmtId="2" fontId="70" fillId="0" borderId="1" xfId="39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40" xfId="0" applyBorder="1" applyAlignment="1">
      <alignment horizontal="center"/>
    </xf>
    <xf numFmtId="0" fontId="0" fillId="0" borderId="36" xfId="0" applyBorder="1"/>
    <xf numFmtId="0" fontId="0" fillId="0" borderId="19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1" fontId="55" fillId="0" borderId="1" xfId="39" applyNumberFormat="1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165" fontId="51" fillId="0" borderId="1" xfId="0" applyNumberFormat="1" applyFont="1" applyBorder="1" applyAlignment="1">
      <alignment horizontal="center"/>
    </xf>
    <xf numFmtId="0" fontId="49" fillId="41" borderId="5" xfId="0" applyFont="1" applyFill="1" applyBorder="1" applyAlignment="1">
      <alignment horizontal="center"/>
    </xf>
    <xf numFmtId="0" fontId="49" fillId="41" borderId="25" xfId="0" applyFont="1" applyFill="1" applyBorder="1" applyAlignment="1">
      <alignment horizontal="center"/>
    </xf>
    <xf numFmtId="0" fontId="49" fillId="41" borderId="26" xfId="0" applyFont="1" applyFill="1" applyBorder="1" applyAlignment="1">
      <alignment horizontal="center"/>
    </xf>
    <xf numFmtId="0" fontId="0" fillId="0" borderId="25" xfId="0" applyBorder="1"/>
    <xf numFmtId="165" fontId="51" fillId="0" borderId="26" xfId="0" applyNumberFormat="1" applyFont="1" applyBorder="1" applyAlignment="1">
      <alignment horizontal="center"/>
    </xf>
    <xf numFmtId="0" fontId="43" fillId="42" borderId="30" xfId="0" applyFont="1" applyFill="1" applyBorder="1" applyAlignment="1">
      <alignment horizontal="center"/>
    </xf>
    <xf numFmtId="165" fontId="43" fillId="42" borderId="30" xfId="0" applyNumberFormat="1" applyFont="1" applyFill="1" applyBorder="1" applyAlignment="1">
      <alignment horizontal="center"/>
    </xf>
    <xf numFmtId="165" fontId="43" fillId="42" borderId="44" xfId="0" applyNumberFormat="1" applyFont="1" applyFill="1" applyBorder="1" applyAlignment="1">
      <alignment horizontal="center"/>
    </xf>
    <xf numFmtId="0" fontId="49" fillId="41" borderId="1" xfId="0" applyFont="1" applyFill="1" applyBorder="1" applyAlignment="1">
      <alignment horizontal="center" wrapText="1"/>
    </xf>
    <xf numFmtId="2" fontId="51" fillId="0" borderId="1" xfId="0" applyNumberFormat="1" applyFont="1" applyBorder="1" applyAlignment="1">
      <alignment horizontal="center"/>
    </xf>
    <xf numFmtId="2" fontId="43" fillId="42" borderId="30" xfId="0" applyNumberFormat="1" applyFont="1" applyFill="1" applyBorder="1" applyAlignment="1">
      <alignment horizontal="center"/>
    </xf>
    <xf numFmtId="49" fontId="0" fillId="0" borderId="5" xfId="0" applyNumberFormat="1" applyBorder="1"/>
    <xf numFmtId="0" fontId="62" fillId="0" borderId="1" xfId="39" applyFont="1" applyBorder="1" applyAlignment="1" applyProtection="1">
      <alignment horizontal="center"/>
      <protection locked="0" hidden="1"/>
    </xf>
    <xf numFmtId="14" fontId="0" fillId="0" borderId="0" xfId="0" applyNumberFormat="1" applyAlignment="1">
      <alignment horizontal="center"/>
    </xf>
    <xf numFmtId="0" fontId="10" fillId="33" borderId="1" xfId="39" applyFont="1" applyFill="1" applyBorder="1" applyAlignment="1" applyProtection="1">
      <alignment horizontal="center" vertical="center" wrapText="1"/>
      <protection locked="0" hidden="1"/>
    </xf>
    <xf numFmtId="2" fontId="10" fillId="33" borderId="1" xfId="39" applyNumberFormat="1" applyFont="1" applyFill="1" applyBorder="1" applyAlignment="1" applyProtection="1">
      <alignment horizontal="center" vertical="center" wrapText="1"/>
      <protection locked="0" hidden="1"/>
    </xf>
    <xf numFmtId="2" fontId="72" fillId="33" borderId="1" xfId="39" applyNumberFormat="1" applyFont="1" applyFill="1" applyBorder="1" applyAlignment="1" applyProtection="1">
      <alignment horizontal="center" vertical="center" wrapText="1"/>
      <protection locked="0" hidden="1"/>
    </xf>
    <xf numFmtId="171" fontId="10" fillId="33" borderId="1" xfId="39" applyNumberFormat="1" applyFont="1" applyFill="1" applyBorder="1" applyAlignment="1" applyProtection="1">
      <alignment horizontal="center" vertical="center" wrapText="1"/>
      <protection locked="0" hidden="1"/>
    </xf>
    <xf numFmtId="0" fontId="10" fillId="34" borderId="1" xfId="39" applyFont="1" applyFill="1" applyBorder="1" applyAlignment="1" applyProtection="1">
      <alignment horizontal="center" vertical="center" wrapText="1"/>
      <protection locked="0" hidden="1"/>
    </xf>
    <xf numFmtId="43" fontId="10" fillId="33" borderId="1" xfId="28" applyFont="1" applyFill="1" applyBorder="1" applyAlignment="1" applyProtection="1">
      <alignment horizontal="center" vertical="center" wrapText="1"/>
      <protection locked="0" hidden="1"/>
    </xf>
    <xf numFmtId="171" fontId="10" fillId="33" borderId="1" xfId="28" applyNumberFormat="1" applyFont="1" applyFill="1" applyBorder="1" applyAlignment="1" applyProtection="1">
      <alignment horizontal="center" vertical="center" wrapText="1"/>
      <protection locked="0" hidden="1"/>
    </xf>
    <xf numFmtId="0" fontId="10" fillId="0" borderId="1" xfId="39" applyFont="1" applyBorder="1" applyAlignment="1" applyProtection="1">
      <alignment horizontal="center" vertical="center" wrapText="1"/>
      <protection locked="0" hidden="1"/>
    </xf>
    <xf numFmtId="167" fontId="10" fillId="34" borderId="1" xfId="39" applyNumberFormat="1" applyFont="1" applyFill="1" applyBorder="1" applyAlignment="1" applyProtection="1">
      <alignment horizontal="center" vertical="center" wrapText="1"/>
      <protection locked="0" hidden="1"/>
    </xf>
    <xf numFmtId="0" fontId="10" fillId="33" borderId="1" xfId="29" applyNumberFormat="1" applyFont="1" applyFill="1" applyBorder="1" applyAlignment="1" applyProtection="1">
      <alignment horizontal="center" vertical="center" wrapText="1"/>
      <protection locked="0" hidden="1"/>
    </xf>
    <xf numFmtId="0" fontId="10" fillId="38" borderId="1" xfId="39" applyFont="1" applyFill="1" applyBorder="1" applyAlignment="1">
      <alignment horizontal="center" vertical="center" wrapText="1"/>
    </xf>
    <xf numFmtId="0" fontId="10" fillId="0" borderId="0" xfId="39" applyFont="1" applyAlignment="1">
      <alignment horizontal="center" vertical="center" wrapText="1"/>
    </xf>
    <xf numFmtId="2" fontId="73" fillId="38" borderId="1" xfId="39" applyNumberFormat="1" applyFont="1" applyFill="1" applyBorder="1" applyAlignment="1">
      <alignment horizontal="center" wrapText="1"/>
    </xf>
    <xf numFmtId="2" fontId="73" fillId="38" borderId="1" xfId="39" applyNumberFormat="1" applyFont="1" applyFill="1" applyBorder="1" applyAlignment="1">
      <alignment horizontal="center"/>
    </xf>
    <xf numFmtId="0" fontId="62" fillId="0" borderId="1" xfId="55" applyFont="1" applyBorder="1" applyAlignment="1">
      <alignment horizontal="center"/>
    </xf>
    <xf numFmtId="49" fontId="0" fillId="0" borderId="40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0" fontId="43" fillId="43" borderId="25" xfId="0" applyFont="1" applyFill="1" applyBorder="1" applyAlignment="1">
      <alignment horizontal="center"/>
    </xf>
    <xf numFmtId="0" fontId="51" fillId="43" borderId="1" xfId="0" applyFont="1" applyFill="1" applyBorder="1" applyAlignment="1">
      <alignment horizontal="center"/>
    </xf>
    <xf numFmtId="0" fontId="50" fillId="43" borderId="1" xfId="0" applyFont="1" applyFill="1" applyBorder="1" applyAlignment="1">
      <alignment horizontal="center"/>
    </xf>
    <xf numFmtId="0" fontId="51" fillId="43" borderId="4" xfId="0" applyFont="1" applyFill="1" applyBorder="1" applyAlignment="1">
      <alignment horizontal="center"/>
    </xf>
    <xf numFmtId="170" fontId="52" fillId="43" borderId="1" xfId="0" applyNumberFormat="1" applyFont="1" applyFill="1" applyBorder="1" applyAlignment="1" applyProtection="1">
      <alignment horizontal="center" readingOrder="1"/>
      <protection locked="0"/>
    </xf>
    <xf numFmtId="2" fontId="51" fillId="43" borderId="1" xfId="0" applyNumberFormat="1" applyFont="1" applyFill="1" applyBorder="1" applyAlignment="1">
      <alignment horizontal="center"/>
    </xf>
    <xf numFmtId="165" fontId="51" fillId="43" borderId="1" xfId="0" applyNumberFormat="1" applyFont="1" applyFill="1" applyBorder="1" applyAlignment="1">
      <alignment horizontal="center"/>
    </xf>
    <xf numFmtId="165" fontId="51" fillId="43" borderId="26" xfId="0" applyNumberFormat="1" applyFont="1" applyFill="1" applyBorder="1" applyAlignment="1">
      <alignment horizontal="center"/>
    </xf>
    <xf numFmtId="1" fontId="50" fillId="43" borderId="1" xfId="0" applyNumberFormat="1" applyFont="1" applyFill="1" applyBorder="1" applyAlignment="1" applyProtection="1">
      <alignment horizontal="center"/>
      <protection locked="0"/>
    </xf>
    <xf numFmtId="0" fontId="43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170" fontId="76" fillId="0" borderId="1" xfId="0" applyNumberFormat="1" applyFont="1" applyBorder="1" applyAlignment="1" applyProtection="1">
      <alignment horizontal="center" readingOrder="1"/>
      <protection locked="0"/>
    </xf>
    <xf numFmtId="2" fontId="43" fillId="0" borderId="1" xfId="0" applyNumberFormat="1" applyFont="1" applyBorder="1" applyAlignment="1">
      <alignment horizontal="center"/>
    </xf>
    <xf numFmtId="165" fontId="43" fillId="0" borderId="1" xfId="0" applyNumberFormat="1" applyFont="1" applyBorder="1" applyAlignment="1">
      <alignment horizontal="center"/>
    </xf>
    <xf numFmtId="0" fontId="75" fillId="0" borderId="1" xfId="55" applyFont="1" applyBorder="1" applyAlignment="1">
      <alignment horizontal="center" vertical="center"/>
    </xf>
    <xf numFmtId="0" fontId="75" fillId="0" borderId="1" xfId="55" applyFont="1" applyBorder="1" applyAlignment="1">
      <alignment horizontal="center"/>
    </xf>
    <xf numFmtId="1" fontId="75" fillId="0" borderId="1" xfId="0" applyNumberFormat="1" applyFont="1" applyBorder="1" applyAlignment="1" applyProtection="1">
      <alignment horizontal="center"/>
      <protection locked="0"/>
    </xf>
    <xf numFmtId="0" fontId="43" fillId="0" borderId="0" xfId="0" applyFont="1" applyAlignment="1">
      <alignment horizontal="left"/>
    </xf>
    <xf numFmtId="0" fontId="55" fillId="0" borderId="1" xfId="39" applyFont="1" applyBorder="1" applyAlignment="1" applyProtection="1">
      <alignment horizontal="center"/>
      <protection locked="0" hidden="1"/>
    </xf>
    <xf numFmtId="0" fontId="55" fillId="0" borderId="1" xfId="0" applyFont="1" applyBorder="1" applyAlignment="1" applyProtection="1">
      <alignment horizontal="center" readingOrder="1"/>
      <protection locked="0"/>
    </xf>
    <xf numFmtId="49" fontId="55" fillId="0" borderId="1" xfId="0" applyNumberFormat="1" applyFont="1" applyBorder="1" applyAlignment="1" applyProtection="1">
      <alignment horizontal="center"/>
      <protection locked="0"/>
    </xf>
    <xf numFmtId="172" fontId="55" fillId="0" borderId="1" xfId="0" applyNumberFormat="1" applyFont="1" applyBorder="1" applyAlignment="1" applyProtection="1">
      <alignment horizontal="center" wrapText="1" readingOrder="1"/>
      <protection locked="0"/>
    </xf>
    <xf numFmtId="2" fontId="55" fillId="0" borderId="1" xfId="39" applyNumberFormat="1" applyFont="1" applyBorder="1" applyAlignment="1" applyProtection="1">
      <alignment horizontal="center"/>
      <protection locked="0" hidden="1"/>
    </xf>
    <xf numFmtId="1" fontId="55" fillId="0" borderId="1" xfId="0" applyNumberFormat="1" applyFont="1" applyBorder="1" applyAlignment="1" applyProtection="1">
      <alignment horizontal="center"/>
      <protection locked="0"/>
    </xf>
    <xf numFmtId="0" fontId="55" fillId="0" borderId="1" xfId="52" applyFont="1" applyBorder="1" applyAlignment="1" applyProtection="1">
      <alignment horizontal="center"/>
      <protection locked="0"/>
    </xf>
    <xf numFmtId="2" fontId="55" fillId="0" borderId="1" xfId="52" applyNumberFormat="1" applyFont="1" applyBorder="1" applyAlignment="1" applyProtection="1">
      <alignment horizontal="center"/>
      <protection locked="0"/>
    </xf>
    <xf numFmtId="172" fontId="55" fillId="0" borderId="1" xfId="39" applyNumberFormat="1" applyFont="1" applyBorder="1" applyAlignment="1" applyProtection="1">
      <alignment horizontal="center"/>
      <protection locked="0" hidden="1"/>
    </xf>
    <xf numFmtId="0" fontId="55" fillId="0" borderId="1" xfId="39" applyFont="1" applyBorder="1" applyAlignment="1" applyProtection="1">
      <alignment horizontal="center" wrapText="1"/>
      <protection locked="0" hidden="1"/>
    </xf>
    <xf numFmtId="0" fontId="55" fillId="0" borderId="1" xfId="39" quotePrefix="1" applyFont="1" applyBorder="1" applyAlignment="1" applyProtection="1">
      <alignment horizontal="center"/>
      <protection locked="0" hidden="1"/>
    </xf>
    <xf numFmtId="14" fontId="55" fillId="0" borderId="1" xfId="39" quotePrefix="1" applyNumberFormat="1" applyFont="1" applyBorder="1" applyAlignment="1" applyProtection="1">
      <alignment horizontal="center"/>
      <protection locked="0" hidden="1"/>
    </xf>
    <xf numFmtId="0" fontId="55" fillId="0" borderId="1" xfId="29" applyNumberFormat="1" applyFont="1" applyFill="1" applyBorder="1" applyAlignment="1" applyProtection="1">
      <alignment horizontal="center" wrapText="1"/>
      <protection locked="0" hidden="1"/>
    </xf>
    <xf numFmtId="49" fontId="55" fillId="0" borderId="1" xfId="39" applyNumberFormat="1" applyFont="1" applyBorder="1" applyAlignment="1">
      <alignment horizontal="center"/>
    </xf>
    <xf numFmtId="0" fontId="55" fillId="0" borderId="0" xfId="39" applyFont="1" applyAlignment="1">
      <alignment horizontal="center"/>
    </xf>
    <xf numFmtId="0" fontId="51" fillId="0" borderId="1" xfId="39" applyFont="1" applyBorder="1" applyAlignment="1" applyProtection="1">
      <alignment horizontal="center"/>
      <protection locked="0" hidden="1"/>
    </xf>
    <xf numFmtId="0" fontId="43" fillId="0" borderId="25" xfId="0" applyFont="1" applyBorder="1" applyAlignment="1">
      <alignment horizontal="center"/>
    </xf>
    <xf numFmtId="1" fontId="50" fillId="0" borderId="1" xfId="0" applyNumberFormat="1" applyFont="1" applyBorder="1" applyAlignment="1" applyProtection="1">
      <alignment horizontal="center"/>
      <protection locked="0"/>
    </xf>
    <xf numFmtId="0" fontId="10" fillId="45" borderId="1" xfId="39" applyFont="1" applyFill="1" applyBorder="1" applyAlignment="1" applyProtection="1">
      <alignment horizontal="center" vertical="center" wrapText="1"/>
      <protection locked="0" hidden="1"/>
    </xf>
    <xf numFmtId="2" fontId="72" fillId="45" borderId="1" xfId="39" applyNumberFormat="1" applyFont="1" applyFill="1" applyBorder="1" applyAlignment="1" applyProtection="1">
      <alignment horizontal="center" vertical="center" wrapText="1"/>
      <protection locked="0" hidden="1"/>
    </xf>
    <xf numFmtId="43" fontId="10" fillId="45" borderId="1" xfId="28" applyFont="1" applyFill="1" applyBorder="1" applyAlignment="1" applyProtection="1">
      <alignment horizontal="center" vertical="center" wrapText="1"/>
      <protection locked="0" hidden="1"/>
    </xf>
    <xf numFmtId="167" fontId="10" fillId="45" borderId="1" xfId="39" applyNumberFormat="1" applyFont="1" applyFill="1" applyBorder="1" applyAlignment="1" applyProtection="1">
      <alignment horizontal="center" vertical="center" wrapText="1"/>
      <protection locked="0" hidden="1"/>
    </xf>
    <xf numFmtId="0" fontId="62" fillId="0" borderId="1" xfId="0" applyFont="1" applyBorder="1" applyAlignment="1">
      <alignment horizontal="center"/>
    </xf>
    <xf numFmtId="49" fontId="62" fillId="0" borderId="1" xfId="0" applyNumberFormat="1" applyFont="1" applyBorder="1" applyAlignment="1" applyProtection="1">
      <alignment horizontal="center"/>
      <protection locked="0"/>
    </xf>
    <xf numFmtId="1" fontId="62" fillId="0" borderId="1" xfId="0" applyNumberFormat="1" applyFont="1" applyBorder="1" applyAlignment="1" applyProtection="1">
      <alignment horizontal="center"/>
      <protection locked="0"/>
    </xf>
    <xf numFmtId="0" fontId="62" fillId="0" borderId="1" xfId="39" applyFont="1" applyBorder="1" applyAlignment="1">
      <alignment horizontal="center"/>
    </xf>
    <xf numFmtId="2" fontId="77" fillId="0" borderId="1" xfId="39" applyNumberFormat="1" applyFont="1" applyBorder="1" applyAlignment="1">
      <alignment horizontal="center"/>
    </xf>
    <xf numFmtId="2" fontId="62" fillId="0" borderId="1" xfId="39" applyNumberFormat="1" applyFont="1" applyBorder="1" applyAlignment="1" applyProtection="1">
      <alignment horizontal="center"/>
      <protection locked="0" hidden="1"/>
    </xf>
    <xf numFmtId="0" fontId="77" fillId="0" borderId="1" xfId="0" applyFont="1" applyBorder="1" applyAlignment="1">
      <alignment horizontal="center"/>
    </xf>
    <xf numFmtId="172" fontId="62" fillId="0" borderId="1" xfId="39" applyNumberFormat="1" applyFont="1" applyBorder="1" applyAlignment="1" applyProtection="1">
      <alignment horizontal="center"/>
      <protection locked="0" hidden="1"/>
    </xf>
    <xf numFmtId="172" fontId="62" fillId="0" borderId="1" xfId="29" applyNumberFormat="1" applyFont="1" applyFill="1" applyBorder="1" applyAlignment="1" applyProtection="1">
      <alignment horizontal="center" wrapText="1"/>
      <protection locked="0" hidden="1"/>
    </xf>
    <xf numFmtId="0" fontId="62" fillId="0" borderId="6" xfId="39" applyFont="1" applyBorder="1" applyAlignment="1">
      <alignment horizontal="center"/>
    </xf>
    <xf numFmtId="2" fontId="62" fillId="0" borderId="6" xfId="39" applyNumberFormat="1" applyFont="1" applyBorder="1" applyAlignment="1" applyProtection="1">
      <alignment horizontal="center"/>
      <protection locked="0" hidden="1"/>
    </xf>
    <xf numFmtId="0" fontId="0" fillId="35" borderId="1" xfId="0" applyFill="1" applyBorder="1"/>
    <xf numFmtId="10" fontId="0" fillId="35" borderId="1" xfId="0" applyNumberFormat="1" applyFill="1" applyBorder="1"/>
    <xf numFmtId="2" fontId="0" fillId="35" borderId="1" xfId="0" applyNumberFormat="1" applyFill="1" applyBorder="1" applyAlignment="1">
      <alignment horizontal="center"/>
    </xf>
    <xf numFmtId="0" fontId="0" fillId="0" borderId="48" xfId="0" applyBorder="1"/>
    <xf numFmtId="0" fontId="0" fillId="0" borderId="5" xfId="0" applyBorder="1"/>
    <xf numFmtId="49" fontId="50" fillId="0" borderId="1" xfId="0" applyNumberFormat="1" applyFont="1" applyBorder="1" applyAlignment="1" applyProtection="1">
      <alignment horizontal="center"/>
      <protection locked="0"/>
    </xf>
    <xf numFmtId="2" fontId="71" fillId="44" borderId="1" xfId="0" applyNumberFormat="1" applyFont="1" applyFill="1" applyBorder="1" applyAlignment="1">
      <alignment horizontal="center"/>
    </xf>
    <xf numFmtId="0" fontId="71" fillId="44" borderId="1" xfId="0" applyFont="1" applyFill="1" applyBorder="1"/>
    <xf numFmtId="2" fontId="0" fillId="0" borderId="0" xfId="0" applyNumberFormat="1"/>
    <xf numFmtId="0" fontId="0" fillId="0" borderId="1" xfId="0" applyBorder="1"/>
    <xf numFmtId="0" fontId="29" fillId="35" borderId="18" xfId="0" applyFont="1" applyFill="1" applyBorder="1" applyAlignment="1">
      <alignment horizontal="center"/>
    </xf>
    <xf numFmtId="0" fontId="29" fillId="35" borderId="39" xfId="0" applyFont="1" applyFill="1" applyBorder="1" applyAlignment="1">
      <alignment horizontal="center"/>
    </xf>
    <xf numFmtId="0" fontId="29" fillId="35" borderId="38" xfId="0" applyFont="1" applyFill="1" applyBorder="1" applyAlignment="1">
      <alignment horizontal="center"/>
    </xf>
    <xf numFmtId="0" fontId="29" fillId="35" borderId="37" xfId="0" applyFont="1" applyFill="1" applyBorder="1" applyAlignment="1">
      <alignment horizontal="center"/>
    </xf>
    <xf numFmtId="0" fontId="29" fillId="34" borderId="1" xfId="0" applyFont="1" applyFill="1" applyBorder="1" applyAlignment="1">
      <alignment horizontal="center"/>
    </xf>
    <xf numFmtId="0" fontId="49" fillId="0" borderId="1" xfId="39" applyFont="1" applyBorder="1" applyAlignment="1">
      <alignment horizontal="center"/>
    </xf>
    <xf numFmtId="14" fontId="57" fillId="0" borderId="1" xfId="39" applyNumberFormat="1" applyFont="1" applyBorder="1" applyAlignment="1">
      <alignment horizontal="left"/>
    </xf>
    <xf numFmtId="0" fontId="57" fillId="35" borderId="1" xfId="39" applyFont="1" applyFill="1" applyBorder="1" applyAlignment="1" applyProtection="1">
      <alignment horizontal="center"/>
      <protection locked="0" hidden="1"/>
    </xf>
    <xf numFmtId="0" fontId="57" fillId="35" borderId="1" xfId="0" applyFont="1" applyFill="1" applyBorder="1" applyAlignment="1" applyProtection="1">
      <alignment horizontal="center" readingOrder="1"/>
      <protection locked="0"/>
    </xf>
    <xf numFmtId="0" fontId="57" fillId="35" borderId="1" xfId="0" applyFont="1" applyFill="1" applyBorder="1" applyAlignment="1">
      <alignment horizontal="center"/>
    </xf>
    <xf numFmtId="0" fontId="57" fillId="35" borderId="1" xfId="39" applyFont="1" applyFill="1" applyBorder="1" applyAlignment="1">
      <alignment horizontal="center"/>
    </xf>
    <xf numFmtId="49" fontId="57" fillId="35" borderId="1" xfId="0" applyNumberFormat="1" applyFont="1" applyFill="1" applyBorder="1" applyAlignment="1" applyProtection="1">
      <alignment horizontal="center"/>
      <protection locked="0"/>
    </xf>
    <xf numFmtId="172" fontId="55" fillId="35" borderId="1" xfId="0" applyNumberFormat="1" applyFont="1" applyFill="1" applyBorder="1" applyAlignment="1" applyProtection="1">
      <alignment horizontal="center" wrapText="1" readingOrder="1"/>
      <protection locked="0"/>
    </xf>
    <xf numFmtId="2" fontId="57" fillId="35" borderId="1" xfId="39" applyNumberFormat="1" applyFont="1" applyFill="1" applyBorder="1" applyAlignment="1" applyProtection="1">
      <alignment horizontal="center"/>
      <protection locked="0" hidden="1"/>
    </xf>
    <xf numFmtId="170" fontId="58" fillId="35" borderId="1" xfId="0" applyNumberFormat="1" applyFont="1" applyFill="1" applyBorder="1" applyAlignment="1" applyProtection="1">
      <alignment horizontal="center" readingOrder="1"/>
      <protection locked="0"/>
    </xf>
    <xf numFmtId="0" fontId="55" fillId="35" borderId="1" xfId="39" applyFont="1" applyFill="1" applyBorder="1" applyAlignment="1">
      <alignment horizontal="center"/>
    </xf>
    <xf numFmtId="2" fontId="57" fillId="35" borderId="1" xfId="52" applyNumberFormat="1" applyFont="1" applyFill="1" applyBorder="1" applyAlignment="1" applyProtection="1">
      <alignment horizontal="center"/>
      <protection locked="0"/>
    </xf>
    <xf numFmtId="2" fontId="55" fillId="35" borderId="1" xfId="39" applyNumberFormat="1" applyFont="1" applyFill="1" applyBorder="1" applyAlignment="1">
      <alignment horizontal="center"/>
    </xf>
    <xf numFmtId="0" fontId="55" fillId="35" borderId="1" xfId="0" applyFont="1" applyFill="1" applyBorder="1" applyAlignment="1">
      <alignment horizontal="center"/>
    </xf>
    <xf numFmtId="172" fontId="57" fillId="35" borderId="1" xfId="39" applyNumberFormat="1" applyFont="1" applyFill="1" applyBorder="1" applyAlignment="1" applyProtection="1">
      <alignment horizontal="center"/>
      <protection locked="0" hidden="1"/>
    </xf>
    <xf numFmtId="0" fontId="57" fillId="35" borderId="1" xfId="39" applyFont="1" applyFill="1" applyBorder="1" applyAlignment="1" applyProtection="1">
      <alignment horizontal="center" wrapText="1"/>
      <protection locked="0" hidden="1"/>
    </xf>
    <xf numFmtId="14" fontId="55" fillId="35" borderId="1" xfId="0" applyNumberFormat="1" applyFont="1" applyFill="1" applyBorder="1" applyAlignment="1">
      <alignment horizontal="center"/>
    </xf>
    <xf numFmtId="0" fontId="57" fillId="35" borderId="1" xfId="39" quotePrefix="1" applyFont="1" applyFill="1" applyBorder="1" applyAlignment="1" applyProtection="1">
      <alignment horizontal="center"/>
      <protection locked="0" hidden="1"/>
    </xf>
    <xf numFmtId="14" fontId="57" fillId="35" borderId="1" xfId="39" quotePrefix="1" applyNumberFormat="1" applyFont="1" applyFill="1" applyBorder="1" applyAlignment="1" applyProtection="1">
      <alignment horizontal="center"/>
      <protection locked="0" hidden="1"/>
    </xf>
    <xf numFmtId="0" fontId="50" fillId="35" borderId="1" xfId="39" applyFont="1" applyFill="1" applyBorder="1" applyAlignment="1" applyProtection="1">
      <alignment horizontal="center"/>
      <protection locked="0" hidden="1"/>
    </xf>
    <xf numFmtId="1" fontId="55" fillId="35" borderId="1" xfId="39" applyNumberFormat="1" applyFont="1" applyFill="1" applyBorder="1" applyAlignment="1">
      <alignment horizontal="center"/>
    </xf>
    <xf numFmtId="172" fontId="57" fillId="35" borderId="1" xfId="29" applyNumberFormat="1" applyFont="1" applyFill="1" applyBorder="1" applyAlignment="1" applyProtection="1">
      <alignment horizontal="center" wrapText="1"/>
      <protection locked="0" hidden="1"/>
    </xf>
    <xf numFmtId="0" fontId="57" fillId="35" borderId="1" xfId="29" applyNumberFormat="1" applyFont="1" applyFill="1" applyBorder="1" applyAlignment="1" applyProtection="1">
      <alignment horizontal="center" wrapText="1"/>
      <protection locked="0" hidden="1"/>
    </xf>
    <xf numFmtId="14" fontId="55" fillId="35" borderId="1" xfId="39" applyNumberFormat="1" applyFont="1" applyFill="1" applyBorder="1" applyAlignment="1">
      <alignment horizontal="center"/>
    </xf>
    <xf numFmtId="14" fontId="57" fillId="35" borderId="1" xfId="39" applyNumberFormat="1" applyFont="1" applyFill="1" applyBorder="1" applyAlignment="1">
      <alignment horizontal="center"/>
    </xf>
    <xf numFmtId="49" fontId="57" fillId="35" borderId="1" xfId="39" applyNumberFormat="1" applyFont="1" applyFill="1" applyBorder="1" applyAlignment="1">
      <alignment horizontal="center"/>
    </xf>
    <xf numFmtId="0" fontId="57" fillId="35" borderId="1" xfId="39" applyFont="1" applyFill="1" applyBorder="1" applyAlignment="1">
      <alignment horizontal="center" wrapText="1"/>
    </xf>
    <xf numFmtId="0" fontId="57" fillId="35" borderId="0" xfId="39" applyFont="1" applyFill="1" applyAlignment="1">
      <alignment horizontal="center"/>
    </xf>
    <xf numFmtId="0" fontId="51" fillId="0" borderId="25" xfId="0" applyFont="1" applyBorder="1" applyAlignment="1">
      <alignment horizontal="center"/>
    </xf>
    <xf numFmtId="0" fontId="49" fillId="35" borderId="1" xfId="39" quotePrefix="1" applyFont="1" applyFill="1" applyBorder="1" applyAlignment="1" applyProtection="1">
      <alignment horizontal="center" wrapText="1"/>
      <protection locked="0" hidden="1"/>
    </xf>
    <xf numFmtId="0" fontId="62" fillId="0" borderId="6" xfId="0" applyFont="1" applyBorder="1" applyAlignment="1">
      <alignment horizontal="center"/>
    </xf>
    <xf numFmtId="49" fontId="62" fillId="0" borderId="6" xfId="0" applyNumberFormat="1" applyFont="1" applyBorder="1" applyAlignment="1" applyProtection="1">
      <alignment horizontal="center"/>
      <protection locked="0"/>
    </xf>
    <xf numFmtId="1" fontId="62" fillId="36" borderId="45" xfId="0" applyNumberFormat="1" applyFont="1" applyFill="1" applyBorder="1" applyAlignment="1" applyProtection="1">
      <alignment horizontal="left"/>
      <protection locked="0"/>
    </xf>
    <xf numFmtId="0" fontId="62" fillId="36" borderId="46" xfId="39" applyFont="1" applyFill="1" applyBorder="1" applyAlignment="1">
      <alignment horizontal="center"/>
    </xf>
    <xf numFmtId="2" fontId="77" fillId="36" borderId="46" xfId="39" applyNumberFormat="1" applyFont="1" applyFill="1" applyBorder="1" applyAlignment="1">
      <alignment horizontal="center"/>
    </xf>
    <xf numFmtId="2" fontId="62" fillId="36" borderId="47" xfId="39" applyNumberFormat="1" applyFont="1" applyFill="1" applyBorder="1" applyAlignment="1" applyProtection="1">
      <alignment horizontal="center"/>
      <protection locked="0" hidden="1"/>
    </xf>
    <xf numFmtId="0" fontId="77" fillId="0" borderId="6" xfId="0" applyFont="1" applyBorder="1" applyAlignment="1">
      <alignment horizontal="center"/>
    </xf>
    <xf numFmtId="172" fontId="62" fillId="0" borderId="6" xfId="39" applyNumberFormat="1" applyFont="1" applyBorder="1" applyAlignment="1" applyProtection="1">
      <alignment horizontal="center"/>
      <protection locked="0" hidden="1"/>
    </xf>
    <xf numFmtId="172" fontId="62" fillId="0" borderId="6" xfId="29" applyNumberFormat="1" applyFont="1" applyFill="1" applyBorder="1" applyAlignment="1" applyProtection="1">
      <alignment horizontal="center" wrapText="1"/>
      <protection locked="0" hidden="1"/>
    </xf>
    <xf numFmtId="14" fontId="77" fillId="0" borderId="1" xfId="0" applyNumberFormat="1" applyFont="1" applyBorder="1" applyAlignment="1">
      <alignment horizontal="center"/>
    </xf>
    <xf numFmtId="0" fontId="78" fillId="35" borderId="1" xfId="0" applyFont="1" applyFill="1" applyBorder="1"/>
    <xf numFmtId="10" fontId="78" fillId="35" borderId="1" xfId="0" applyNumberFormat="1" applyFont="1" applyFill="1" applyBorder="1"/>
    <xf numFmtId="2" fontId="78" fillId="35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0" fontId="0" fillId="0" borderId="0" xfId="0" applyAlignment="1">
      <alignment vertical="center" readingOrder="1"/>
    </xf>
    <xf numFmtId="0" fontId="79" fillId="0" borderId="0" xfId="0" applyFont="1" applyAlignment="1">
      <alignment vertical="center" readingOrder="1"/>
    </xf>
    <xf numFmtId="0" fontId="0" fillId="35" borderId="4" xfId="0" applyFill="1" applyBorder="1" applyAlignment="1">
      <alignment horizontal="center"/>
    </xf>
    <xf numFmtId="0" fontId="0" fillId="35" borderId="5" xfId="0" applyFill="1" applyBorder="1" applyAlignment="1">
      <alignment horizontal="center"/>
    </xf>
    <xf numFmtId="0" fontId="78" fillId="35" borderId="4" xfId="0" applyFont="1" applyFill="1" applyBorder="1" applyAlignment="1">
      <alignment horizontal="center"/>
    </xf>
    <xf numFmtId="0" fontId="78" fillId="35" borderId="5" xfId="0" applyFont="1" applyFill="1" applyBorder="1" applyAlignment="1">
      <alignment horizontal="center"/>
    </xf>
    <xf numFmtId="0" fontId="43" fillId="42" borderId="33" xfId="0" applyFont="1" applyFill="1" applyBorder="1" applyAlignment="1">
      <alignment horizontal="center"/>
    </xf>
    <xf numFmtId="0" fontId="43" fillId="42" borderId="35" xfId="0" applyFont="1" applyFill="1" applyBorder="1" applyAlignment="1">
      <alignment horizontal="center"/>
    </xf>
    <xf numFmtId="0" fontId="43" fillId="42" borderId="34" xfId="0" applyFont="1" applyFill="1" applyBorder="1" applyAlignment="1">
      <alignment horizontal="center"/>
    </xf>
    <xf numFmtId="0" fontId="46" fillId="0" borderId="2" xfId="0" applyFont="1" applyBorder="1" applyAlignment="1">
      <alignment horizontal="center" wrapText="1"/>
    </xf>
    <xf numFmtId="0" fontId="46" fillId="0" borderId="7" xfId="0" applyFont="1" applyBorder="1" applyAlignment="1">
      <alignment horizontal="center" wrapText="1"/>
    </xf>
    <xf numFmtId="0" fontId="71" fillId="35" borderId="41" xfId="0" applyFont="1" applyFill="1" applyBorder="1" applyAlignment="1">
      <alignment horizontal="center"/>
    </xf>
    <xf numFmtId="0" fontId="71" fillId="35" borderId="42" xfId="0" applyFont="1" applyFill="1" applyBorder="1" applyAlignment="1">
      <alignment horizontal="center"/>
    </xf>
    <xf numFmtId="0" fontId="71" fillId="35" borderId="43" xfId="0" applyFont="1" applyFill="1" applyBorder="1" applyAlignment="1">
      <alignment horizontal="center"/>
    </xf>
    <xf numFmtId="0" fontId="46" fillId="40" borderId="27" xfId="0" applyFont="1" applyFill="1" applyBorder="1" applyAlignment="1">
      <alignment horizontal="left"/>
    </xf>
    <xf numFmtId="0" fontId="46" fillId="40" borderId="20" xfId="0" applyFont="1" applyFill="1" applyBorder="1" applyAlignment="1">
      <alignment horizontal="left"/>
    </xf>
    <xf numFmtId="0" fontId="46" fillId="40" borderId="8" xfId="0" applyFont="1" applyFill="1" applyBorder="1" applyAlignment="1">
      <alignment horizontal="left"/>
    </xf>
    <xf numFmtId="0" fontId="46" fillId="0" borderId="0" xfId="0" applyFont="1" applyAlignment="1">
      <alignment horizont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2" fontId="46" fillId="0" borderId="1" xfId="0" applyNumberFormat="1" applyFont="1" applyBorder="1" applyAlignment="1">
      <alignment horizontal="center" vertical="center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00000000-0005-0000-0000-00001C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" xfId="54" builtinId="8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00000000-0005-0000-0000-000027000000}"/>
    <cellStyle name="Normal 2 2" xfId="50" xr:uid="{8EEB9B46-669D-44CF-B3FB-5CE6369C9D6F}"/>
    <cellStyle name="Normal 3" xfId="51" xr:uid="{60B29D96-0016-4B9A-9791-CC5E2380E291}"/>
    <cellStyle name="Normal 4" xfId="40" xr:uid="{00000000-0005-0000-0000-000028000000}"/>
    <cellStyle name="Normal 4 2" xfId="52" xr:uid="{5EC8A9EB-B378-4354-A4C1-EE1D19B154CC}"/>
    <cellStyle name="Note" xfId="41" builtinId="10" customBuiltin="1"/>
    <cellStyle name="Output" xfId="42" builtinId="21" customBuiltin="1"/>
    <cellStyle name="Standard_Tabelle1" xfId="43" xr:uid="{00000000-0005-0000-0000-00002B000000}"/>
    <cellStyle name="Standard_Vorlage für Einkaufsplanung mit Datenbankanbindung1" xfId="53" xr:uid="{8D46F6D0-3512-499E-8FE9-5CBF4464E34B}"/>
    <cellStyle name="Title" xfId="44" builtinId="15" customBuiltin="1"/>
    <cellStyle name="Total" xfId="45" builtinId="25" customBuiltin="1"/>
    <cellStyle name="Warning Text" xfId="46" builtinId="11" customBuiltin="1"/>
    <cellStyle name="一般 2" xfId="47" xr:uid="{00000000-0005-0000-0000-00002F000000}"/>
    <cellStyle name="一般 2 2" xfId="48" xr:uid="{00000000-0005-0000-0000-000030000000}"/>
    <cellStyle name="一般_ROMEN-INV#0700021" xfId="55" xr:uid="{EEE8D62F-8366-45DD-926D-42684A6C0DED}"/>
    <cellStyle name="常规 2" xfId="49" xr:uid="{00000000-0005-0000-0000-000031000000}"/>
  </cellStyles>
  <dxfs count="1">
    <dxf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330200</xdr:colOff>
      <xdr:row>10</xdr:row>
      <xdr:rowOff>21566</xdr:rowOff>
    </xdr:from>
    <xdr:to>
      <xdr:col>21</xdr:col>
      <xdr:colOff>203615</xdr:colOff>
      <xdr:row>13</xdr:row>
      <xdr:rowOff>177859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9953F4-0201-86EE-68DC-32D58D6E7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2098016"/>
          <a:ext cx="6579015" cy="93099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273050</xdr:colOff>
      <xdr:row>1</xdr:row>
      <xdr:rowOff>0</xdr:rowOff>
    </xdr:from>
    <xdr:to>
      <xdr:col>21</xdr:col>
      <xdr:colOff>235366</xdr:colOff>
      <xdr:row>5</xdr:row>
      <xdr:rowOff>144625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D4214-E3F4-CB17-CF7B-11457EF4C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2950" y="184150"/>
          <a:ext cx="6667916" cy="11034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LA691"/>
  <sheetViews>
    <sheetView tabSelected="1" topLeftCell="AN1" zoomScaleNormal="100" zoomScaleSheetLayoutView="100" workbookViewId="0">
      <pane ySplit="2" topLeftCell="A5" activePane="bottomLeft" state="frozen"/>
      <selection activeCell="C153" sqref="C153"/>
      <selection pane="bottomLeft" activeCell="AW7" sqref="AW7:AW9"/>
    </sheetView>
  </sheetViews>
  <sheetFormatPr defaultColWidth="9.140625" defaultRowHeight="15"/>
  <cols>
    <col min="1" max="1" width="8.42578125" style="8" customWidth="1"/>
    <col min="2" max="2" width="26.5703125" style="8" customWidth="1"/>
    <col min="3" max="3" width="23.140625" style="8" customWidth="1"/>
    <col min="4" max="4" width="10.42578125" style="2" customWidth="1"/>
    <col min="5" max="5" width="8.42578125" style="8" customWidth="1"/>
    <col min="6" max="6" width="13.28515625" style="3" customWidth="1"/>
    <col min="7" max="7" width="13.140625" style="8" customWidth="1"/>
    <col min="8" max="8" width="14.42578125" style="8" customWidth="1"/>
    <col min="9" max="9" width="13.85546875" style="3" customWidth="1"/>
    <col min="10" max="10" width="6.85546875" style="8" customWidth="1"/>
    <col min="11" max="11" width="7.42578125" style="8" customWidth="1"/>
    <col min="12" max="12" width="9.5703125" style="8" customWidth="1"/>
    <col min="13" max="13" width="9.140625" style="8" customWidth="1"/>
    <col min="14" max="14" width="6.42578125" style="8" customWidth="1"/>
    <col min="15" max="15" width="8.42578125" style="105" customWidth="1"/>
    <col min="16" max="16" width="8.5703125" style="106" customWidth="1"/>
    <col min="17" max="17" width="12.85546875" style="106" customWidth="1"/>
    <col min="18" max="18" width="8" style="106" customWidth="1"/>
    <col min="19" max="19" width="10.28515625" style="10" customWidth="1"/>
    <col min="20" max="20" width="13.28515625" style="10" customWidth="1"/>
    <col min="21" max="21" width="9" style="106" customWidth="1"/>
    <col min="22" max="22" width="18" style="8" customWidth="1"/>
    <col min="23" max="23" width="14.7109375" style="107" customWidth="1"/>
    <col min="24" max="24" width="22.85546875" style="41" customWidth="1"/>
    <col min="25" max="25" width="14.140625" style="108" customWidth="1"/>
    <col min="26" max="26" width="16.85546875" style="109" customWidth="1"/>
    <col min="27" max="27" width="20.28515625" style="110" customWidth="1"/>
    <col min="28" max="28" width="14.140625" style="110" customWidth="1"/>
    <col min="29" max="29" width="15.5703125" style="111" customWidth="1"/>
    <col min="30" max="30" width="14" style="111" customWidth="1"/>
    <col min="31" max="31" width="10.85546875" style="111" customWidth="1"/>
    <col min="32" max="32" width="22.140625" style="8" customWidth="1"/>
    <col min="33" max="33" width="34.140625" style="8" customWidth="1"/>
    <col min="34" max="34" width="12.28515625" style="8" customWidth="1"/>
    <col min="35" max="35" width="14.5703125" style="113" customWidth="1"/>
    <col min="36" max="36" width="14" style="114" customWidth="1"/>
    <col min="37" max="37" width="14.28515625" style="112" customWidth="1"/>
    <col min="38" max="38" width="15.140625" style="112" customWidth="1"/>
    <col min="39" max="39" width="27.140625" style="8" customWidth="1"/>
    <col min="40" max="40" width="14.28515625" style="8" customWidth="1"/>
    <col min="41" max="41" width="16.42578125" style="3" customWidth="1"/>
    <col min="42" max="42" width="15.85546875" style="3" customWidth="1"/>
    <col min="43" max="43" width="22.42578125" style="8" customWidth="1"/>
    <col min="44" max="45" width="14.140625" style="8" customWidth="1"/>
    <col min="46" max="46" width="14.28515625" style="8" customWidth="1"/>
    <col min="47" max="47" width="14.140625" style="8" customWidth="1"/>
    <col min="48" max="48" width="14.42578125" style="8" customWidth="1"/>
    <col min="49" max="49" width="13.7109375" style="8" customWidth="1"/>
    <col min="50" max="50" width="16.42578125" style="8" customWidth="1"/>
    <col min="51" max="51" width="8.5703125" style="8" customWidth="1"/>
    <col min="52" max="52" width="11" style="8" customWidth="1"/>
    <col min="53" max="53" width="19.5703125" style="8" customWidth="1"/>
    <col min="54" max="54" width="15.140625" style="8" customWidth="1"/>
    <col min="55" max="55" width="21.85546875" style="8" customWidth="1"/>
    <col min="56" max="56" width="13.5703125" style="8" customWidth="1"/>
    <col min="57" max="57" width="12.42578125" style="8" bestFit="1" customWidth="1"/>
    <col min="58" max="58" width="9.140625" style="8"/>
    <col min="59" max="59" width="10.7109375" style="8" bestFit="1" customWidth="1"/>
    <col min="60" max="60" width="12.140625" style="8" bestFit="1" customWidth="1"/>
    <col min="61" max="61" width="23.28515625" style="8" bestFit="1" customWidth="1"/>
    <col min="62" max="62" width="26.5703125" style="8" bestFit="1" customWidth="1"/>
    <col min="63" max="16384" width="9.140625" style="8"/>
  </cols>
  <sheetData>
    <row r="1" spans="1:56" s="3" customFormat="1" ht="21.75" customHeight="1">
      <c r="A1" s="3" t="s">
        <v>4</v>
      </c>
      <c r="L1" s="38">
        <f>SUBTOTAL(9,L3:L643)</f>
        <v>2530</v>
      </c>
      <c r="M1" s="38">
        <f>SUBTOTAL(9,M3:M643)</f>
        <v>2125</v>
      </c>
      <c r="O1" s="44"/>
      <c r="P1" s="45"/>
      <c r="Q1" s="38">
        <f>SUBTOTAL(9,Q3:Q643)</f>
        <v>18976.05</v>
      </c>
      <c r="R1" s="45"/>
      <c r="S1" s="4"/>
      <c r="T1" s="38">
        <f>SUBTOTAL(9,T3:T643)</f>
        <v>16355.500000000002</v>
      </c>
      <c r="U1" s="45"/>
      <c r="W1" s="43"/>
      <c r="X1" s="40"/>
      <c r="Y1" s="52"/>
      <c r="Z1" s="53"/>
      <c r="AA1" s="29"/>
      <c r="AB1" s="29"/>
      <c r="AC1" s="50"/>
      <c r="AD1" s="50"/>
      <c r="AE1" s="50"/>
      <c r="AI1" s="5"/>
      <c r="AK1" s="6"/>
      <c r="AL1" s="6"/>
    </row>
    <row r="2" spans="1:56" s="461" customFormat="1" ht="41.1" customHeight="1">
      <c r="A2" s="457" t="s">
        <v>5</v>
      </c>
      <c r="B2" s="450" t="s">
        <v>42</v>
      </c>
      <c r="C2" s="450" t="s">
        <v>6</v>
      </c>
      <c r="D2" s="450" t="s">
        <v>7</v>
      </c>
      <c r="E2" s="450" t="s">
        <v>8</v>
      </c>
      <c r="F2" s="450" t="s">
        <v>112</v>
      </c>
      <c r="G2" s="450" t="s">
        <v>118</v>
      </c>
      <c r="H2" s="450" t="s">
        <v>100</v>
      </c>
      <c r="I2" s="450" t="s">
        <v>144</v>
      </c>
      <c r="J2" s="450" t="s">
        <v>2</v>
      </c>
      <c r="K2" s="450" t="s">
        <v>145</v>
      </c>
      <c r="L2" s="450" t="s">
        <v>9</v>
      </c>
      <c r="M2" s="450" t="s">
        <v>10</v>
      </c>
      <c r="N2" s="450" t="s">
        <v>11</v>
      </c>
      <c r="O2" s="450" t="s">
        <v>12</v>
      </c>
      <c r="P2" s="451" t="s">
        <v>13</v>
      </c>
      <c r="Q2" s="451" t="s">
        <v>14</v>
      </c>
      <c r="R2" s="451" t="s">
        <v>36</v>
      </c>
      <c r="S2" s="452" t="s">
        <v>15</v>
      </c>
      <c r="T2" s="452" t="s">
        <v>16</v>
      </c>
      <c r="U2" s="451" t="s">
        <v>17</v>
      </c>
      <c r="V2" s="450" t="s">
        <v>22</v>
      </c>
      <c r="W2" s="453" t="s">
        <v>38</v>
      </c>
      <c r="X2" s="454" t="s">
        <v>160</v>
      </c>
      <c r="Y2" s="455" t="s">
        <v>18</v>
      </c>
      <c r="Z2" s="456" t="s">
        <v>33</v>
      </c>
      <c r="AA2" s="450" t="s">
        <v>19</v>
      </c>
      <c r="AB2" s="450" t="s">
        <v>40</v>
      </c>
      <c r="AC2" s="453" t="s">
        <v>146</v>
      </c>
      <c r="AD2" s="453" t="s">
        <v>43</v>
      </c>
      <c r="AE2" s="453" t="s">
        <v>39</v>
      </c>
      <c r="AF2" s="450" t="s">
        <v>20</v>
      </c>
      <c r="AG2" s="450" t="s">
        <v>21</v>
      </c>
      <c r="AH2" s="450" t="s">
        <v>23</v>
      </c>
      <c r="AI2" s="458" t="s">
        <v>24</v>
      </c>
      <c r="AJ2" s="454" t="s">
        <v>25</v>
      </c>
      <c r="AK2" s="459" t="s">
        <v>26</v>
      </c>
      <c r="AL2" s="459" t="s">
        <v>27</v>
      </c>
      <c r="AM2" s="450" t="s">
        <v>1</v>
      </c>
      <c r="AN2" s="450" t="s">
        <v>28</v>
      </c>
      <c r="AO2" s="450" t="s">
        <v>29</v>
      </c>
      <c r="AP2" s="460" t="s">
        <v>116</v>
      </c>
      <c r="AQ2" s="460" t="s">
        <v>41</v>
      </c>
      <c r="AR2" s="460" t="s">
        <v>148</v>
      </c>
      <c r="AS2" s="460" t="s">
        <v>149</v>
      </c>
      <c r="AT2" s="460" t="s">
        <v>103</v>
      </c>
      <c r="AU2" s="460" t="s">
        <v>69</v>
      </c>
      <c r="AV2" s="460" t="s">
        <v>67</v>
      </c>
      <c r="AW2" s="460" t="s">
        <v>68</v>
      </c>
      <c r="AX2" s="460" t="s">
        <v>62</v>
      </c>
      <c r="AY2" s="460" t="s">
        <v>65</v>
      </c>
      <c r="AZ2" s="460" t="s">
        <v>64</v>
      </c>
      <c r="BA2" s="460" t="s">
        <v>61</v>
      </c>
      <c r="BB2" s="460" t="s">
        <v>66</v>
      </c>
      <c r="BC2" s="462" t="s">
        <v>150</v>
      </c>
      <c r="BD2" s="463" t="s">
        <v>101</v>
      </c>
    </row>
    <row r="3" spans="1:56" s="561" customFormat="1" ht="24" customHeight="1">
      <c r="A3" s="536" t="s">
        <v>143</v>
      </c>
      <c r="B3" s="537" t="s">
        <v>110</v>
      </c>
      <c r="C3" s="538" t="s">
        <v>106</v>
      </c>
      <c r="D3" s="539" t="s">
        <v>70</v>
      </c>
      <c r="E3" s="540" t="s">
        <v>111</v>
      </c>
      <c r="F3" s="538" t="s">
        <v>117</v>
      </c>
      <c r="G3" s="538">
        <v>14893608</v>
      </c>
      <c r="H3" s="541">
        <v>46118</v>
      </c>
      <c r="I3" s="541">
        <v>46053</v>
      </c>
      <c r="J3" s="536" t="s">
        <v>188</v>
      </c>
      <c r="K3" s="542" t="s">
        <v>189</v>
      </c>
      <c r="L3" s="543">
        <v>500</v>
      </c>
      <c r="M3" s="543">
        <v>56</v>
      </c>
      <c r="N3" s="544">
        <v>3</v>
      </c>
      <c r="O3" s="539" t="s">
        <v>114</v>
      </c>
      <c r="P3" s="545">
        <v>9.5</v>
      </c>
      <c r="Q3" s="542">
        <f t="shared" ref="Q3" si="0">M3*P3</f>
        <v>532</v>
      </c>
      <c r="R3" s="542" t="s">
        <v>30</v>
      </c>
      <c r="S3" s="546">
        <v>8.3000000000000007</v>
      </c>
      <c r="T3" s="542">
        <f t="shared" ref="T3" si="1">M3*S3</f>
        <v>464.80000000000007</v>
      </c>
      <c r="U3" s="542">
        <f t="shared" ref="U3" si="2">P3-S3</f>
        <v>1.1999999999999993</v>
      </c>
      <c r="V3" s="547" t="s">
        <v>186</v>
      </c>
      <c r="W3" s="548">
        <v>46134</v>
      </c>
      <c r="X3" s="549" t="s">
        <v>190</v>
      </c>
      <c r="Y3" s="550">
        <v>46136</v>
      </c>
      <c r="Z3" s="550">
        <v>46140</v>
      </c>
      <c r="AA3" s="563" t="s">
        <v>208</v>
      </c>
      <c r="AB3" s="552">
        <v>46137</v>
      </c>
      <c r="AC3" s="552">
        <v>46150</v>
      </c>
      <c r="AD3" s="552">
        <f>Y3+7</f>
        <v>46143</v>
      </c>
      <c r="AE3" s="551">
        <f t="shared" ref="AE3" si="3">AC3-AD3</f>
        <v>7</v>
      </c>
      <c r="AF3" s="536" t="s">
        <v>211</v>
      </c>
      <c r="AG3" s="553" t="s">
        <v>163</v>
      </c>
      <c r="AH3" s="554">
        <f t="shared" ref="AH3" si="4">M3-L3</f>
        <v>-444</v>
      </c>
      <c r="AI3" s="555">
        <f t="shared" ref="AI3:AI11" si="5">AC3+30+3</f>
        <v>46183</v>
      </c>
      <c r="AJ3" s="536" t="s">
        <v>142</v>
      </c>
      <c r="AK3" s="556">
        <f t="shared" ref="AK3" si="6">Y3-I3</f>
        <v>83</v>
      </c>
      <c r="AL3" s="555">
        <f t="shared" ref="AL3" si="7">BD3+30</f>
        <v>30</v>
      </c>
      <c r="AM3" s="553" t="s">
        <v>212</v>
      </c>
      <c r="AN3" s="544" t="s">
        <v>115</v>
      </c>
      <c r="AO3" s="544" t="s">
        <v>115</v>
      </c>
      <c r="AP3" s="557"/>
      <c r="AQ3" s="539" t="s">
        <v>147</v>
      </c>
      <c r="AR3" s="558">
        <v>46136</v>
      </c>
      <c r="AS3" s="558">
        <v>46136</v>
      </c>
      <c r="AT3" s="559" t="s">
        <v>128</v>
      </c>
      <c r="AU3" s="558">
        <v>46136</v>
      </c>
      <c r="AV3" s="558">
        <v>46136</v>
      </c>
      <c r="AW3" s="558">
        <v>46136</v>
      </c>
      <c r="AX3" s="560"/>
      <c r="AY3" s="539"/>
      <c r="AZ3" s="539"/>
      <c r="BA3" s="539" t="s">
        <v>213</v>
      </c>
      <c r="BB3" s="539"/>
      <c r="BC3" s="539" t="s">
        <v>151</v>
      </c>
      <c r="BD3" s="558"/>
    </row>
    <row r="4" spans="1:56" s="334" customFormat="1" ht="24" customHeight="1">
      <c r="A4" s="313" t="s">
        <v>143</v>
      </c>
      <c r="B4" s="317" t="s">
        <v>110</v>
      </c>
      <c r="C4" s="317" t="s">
        <v>191</v>
      </c>
      <c r="D4" s="315" t="s">
        <v>70</v>
      </c>
      <c r="E4" s="336" t="s">
        <v>192</v>
      </c>
      <c r="F4" s="336" t="s">
        <v>117</v>
      </c>
      <c r="G4" s="336" t="s">
        <v>193</v>
      </c>
      <c r="H4" s="350">
        <v>46153</v>
      </c>
      <c r="I4" s="350">
        <v>46116</v>
      </c>
      <c r="J4" s="313" t="s">
        <v>3</v>
      </c>
      <c r="K4" s="323" t="s">
        <v>30</v>
      </c>
      <c r="L4" s="320">
        <v>300</v>
      </c>
      <c r="M4" s="320">
        <v>296</v>
      </c>
      <c r="N4" s="335">
        <v>13</v>
      </c>
      <c r="O4" s="315" t="s">
        <v>114</v>
      </c>
      <c r="P4" s="322">
        <v>9.25</v>
      </c>
      <c r="Q4" s="323">
        <f t="shared" ref="Q4" si="8">M4*P4</f>
        <v>2738</v>
      </c>
      <c r="R4" s="323" t="s">
        <v>30</v>
      </c>
      <c r="S4" s="322">
        <v>7.9</v>
      </c>
      <c r="T4" s="323">
        <f t="shared" ref="T4" si="9">M4*S4</f>
        <v>2338.4</v>
      </c>
      <c r="U4" s="323">
        <f t="shared" ref="U4" si="10">P4-S4</f>
        <v>1.3499999999999996</v>
      </c>
      <c r="V4" s="288" t="s">
        <v>197</v>
      </c>
      <c r="W4" s="367">
        <v>46141</v>
      </c>
      <c r="X4" s="316" t="s">
        <v>194</v>
      </c>
      <c r="Y4" s="367">
        <v>46151</v>
      </c>
      <c r="Z4" s="289">
        <v>46192</v>
      </c>
      <c r="AA4" s="324" t="s">
        <v>202</v>
      </c>
      <c r="AB4" s="326">
        <v>46155</v>
      </c>
      <c r="AC4" s="326">
        <v>46156</v>
      </c>
      <c r="AD4" s="326">
        <f t="shared" ref="AD4:AD9" si="11">Y4+7</f>
        <v>46158</v>
      </c>
      <c r="AE4" s="324">
        <f>AC4-AD4</f>
        <v>-2</v>
      </c>
      <c r="AF4" s="313" t="s">
        <v>203</v>
      </c>
      <c r="AG4" s="448" t="s">
        <v>200</v>
      </c>
      <c r="AH4" s="433">
        <f>M4-L4</f>
        <v>-4</v>
      </c>
      <c r="AI4" s="364">
        <f t="shared" si="5"/>
        <v>46189</v>
      </c>
      <c r="AJ4" s="313" t="s">
        <v>142</v>
      </c>
      <c r="AK4" s="331">
        <f t="shared" ref="AK4:AK13" si="12">Y4-I4</f>
        <v>35</v>
      </c>
      <c r="AL4" s="364">
        <f t="shared" ref="AL4:AL8" si="13">BD4+30</f>
        <v>46187</v>
      </c>
      <c r="AM4" s="197" t="s">
        <v>209</v>
      </c>
      <c r="AN4" s="332" t="s">
        <v>115</v>
      </c>
      <c r="AO4" s="332" t="s">
        <v>115</v>
      </c>
      <c r="AP4" s="369">
        <v>46142</v>
      </c>
      <c r="AQ4" s="315" t="s">
        <v>147</v>
      </c>
      <c r="AR4" s="333">
        <v>46143</v>
      </c>
      <c r="AS4" s="333">
        <v>46143</v>
      </c>
      <c r="AT4" s="385" t="s">
        <v>128</v>
      </c>
      <c r="AU4" s="333">
        <v>46143</v>
      </c>
      <c r="AV4" s="333">
        <v>46143</v>
      </c>
      <c r="AW4" s="333">
        <v>46147</v>
      </c>
      <c r="AX4" s="315" t="s">
        <v>204</v>
      </c>
      <c r="AY4" s="315" t="s">
        <v>205</v>
      </c>
      <c r="AZ4" s="315" t="s">
        <v>64</v>
      </c>
      <c r="BA4" s="534" t="s">
        <v>207</v>
      </c>
      <c r="BB4" s="315" t="s">
        <v>206</v>
      </c>
      <c r="BC4" s="315" t="s">
        <v>151</v>
      </c>
      <c r="BD4" s="535">
        <v>46157</v>
      </c>
    </row>
    <row r="5" spans="1:56" s="334" customFormat="1" ht="24" customHeight="1">
      <c r="A5" s="313" t="s">
        <v>143</v>
      </c>
      <c r="B5" s="317" t="s">
        <v>110</v>
      </c>
      <c r="C5" s="318" t="s">
        <v>191</v>
      </c>
      <c r="D5" s="315" t="s">
        <v>70</v>
      </c>
      <c r="E5" s="336" t="s">
        <v>192</v>
      </c>
      <c r="F5" s="336" t="s">
        <v>195</v>
      </c>
      <c r="G5" s="336" t="s">
        <v>196</v>
      </c>
      <c r="H5" s="350">
        <v>46153</v>
      </c>
      <c r="I5" s="350">
        <v>46116</v>
      </c>
      <c r="J5" s="313" t="s">
        <v>3</v>
      </c>
      <c r="K5" s="323" t="s">
        <v>30</v>
      </c>
      <c r="L5" s="320">
        <v>300</v>
      </c>
      <c r="M5" s="320">
        <v>300</v>
      </c>
      <c r="N5" s="335">
        <v>13</v>
      </c>
      <c r="O5" s="315" t="s">
        <v>114</v>
      </c>
      <c r="P5" s="322">
        <v>9.25</v>
      </c>
      <c r="Q5" s="323">
        <f t="shared" ref="Q5:Q22" si="14">M5*P5</f>
        <v>2775</v>
      </c>
      <c r="R5" s="323" t="s">
        <v>30</v>
      </c>
      <c r="S5" s="322">
        <v>7.9</v>
      </c>
      <c r="T5" s="323">
        <f>M5*S5</f>
        <v>2370</v>
      </c>
      <c r="U5" s="323">
        <f t="shared" ref="U5:U25" si="15">P5-S5</f>
        <v>1.3499999999999996</v>
      </c>
      <c r="V5" s="288" t="s">
        <v>197</v>
      </c>
      <c r="W5" s="367">
        <v>46141</v>
      </c>
      <c r="X5" s="316" t="s">
        <v>194</v>
      </c>
      <c r="Y5" s="367">
        <v>46151</v>
      </c>
      <c r="Z5" s="289">
        <v>46192</v>
      </c>
      <c r="AA5" s="324" t="s">
        <v>202</v>
      </c>
      <c r="AB5" s="326">
        <v>46155</v>
      </c>
      <c r="AC5" s="326">
        <v>46156</v>
      </c>
      <c r="AD5" s="326">
        <f t="shared" si="11"/>
        <v>46158</v>
      </c>
      <c r="AE5" s="324">
        <f>AC5-AD5</f>
        <v>-2</v>
      </c>
      <c r="AF5" s="313" t="s">
        <v>203</v>
      </c>
      <c r="AG5" s="448" t="s">
        <v>200</v>
      </c>
      <c r="AH5" s="433">
        <f t="shared" ref="AH5:AH31" si="16">M5-L5</f>
        <v>0</v>
      </c>
      <c r="AI5" s="364">
        <f t="shared" si="5"/>
        <v>46189</v>
      </c>
      <c r="AJ5" s="313" t="s">
        <v>142</v>
      </c>
      <c r="AK5" s="331">
        <f t="shared" si="12"/>
        <v>35</v>
      </c>
      <c r="AL5" s="364">
        <f t="shared" si="13"/>
        <v>46187</v>
      </c>
      <c r="AM5" s="197" t="s">
        <v>209</v>
      </c>
      <c r="AN5" s="332" t="s">
        <v>115</v>
      </c>
      <c r="AO5" s="332" t="s">
        <v>115</v>
      </c>
      <c r="AP5" s="369">
        <v>46142</v>
      </c>
      <c r="AQ5" s="315" t="s">
        <v>147</v>
      </c>
      <c r="AR5" s="333">
        <v>46143</v>
      </c>
      <c r="AS5" s="333">
        <v>46143</v>
      </c>
      <c r="AT5" s="385" t="s">
        <v>128</v>
      </c>
      <c r="AU5" s="333">
        <v>46143</v>
      </c>
      <c r="AV5" s="333">
        <v>46143</v>
      </c>
      <c r="AW5" s="333">
        <v>46147</v>
      </c>
      <c r="AX5" s="315" t="s">
        <v>204</v>
      </c>
      <c r="AY5" s="315" t="s">
        <v>205</v>
      </c>
      <c r="AZ5" s="315" t="s">
        <v>64</v>
      </c>
      <c r="BA5" s="534" t="s">
        <v>207</v>
      </c>
      <c r="BB5" s="315" t="s">
        <v>206</v>
      </c>
      <c r="BC5" s="315" t="s">
        <v>151</v>
      </c>
      <c r="BD5" s="535">
        <v>46157</v>
      </c>
    </row>
    <row r="6" spans="1:56" s="334" customFormat="1" ht="24" customHeight="1">
      <c r="A6" s="313" t="s">
        <v>143</v>
      </c>
      <c r="B6" s="317" t="s">
        <v>110</v>
      </c>
      <c r="C6" s="318" t="s">
        <v>106</v>
      </c>
      <c r="D6" s="315" t="s">
        <v>70</v>
      </c>
      <c r="E6" s="336" t="s">
        <v>192</v>
      </c>
      <c r="F6" s="336" t="s">
        <v>117</v>
      </c>
      <c r="G6" s="342" t="s">
        <v>214</v>
      </c>
      <c r="H6" s="350">
        <v>46230</v>
      </c>
      <c r="I6" s="350">
        <v>46221</v>
      </c>
      <c r="J6" s="313" t="s">
        <v>3</v>
      </c>
      <c r="K6" s="323" t="s">
        <v>30</v>
      </c>
      <c r="L6" s="365">
        <v>400</v>
      </c>
      <c r="M6" s="365">
        <v>400</v>
      </c>
      <c r="N6" s="366">
        <v>10</v>
      </c>
      <c r="O6" s="315" t="s">
        <v>114</v>
      </c>
      <c r="P6" s="344">
        <v>8.85</v>
      </c>
      <c r="Q6" s="323">
        <f t="shared" si="14"/>
        <v>3540</v>
      </c>
      <c r="R6" s="323" t="s">
        <v>30</v>
      </c>
      <c r="S6" s="322">
        <v>7.7</v>
      </c>
      <c r="T6" s="323">
        <f t="shared" ref="T6:T25" si="17">M6*S6</f>
        <v>3080</v>
      </c>
      <c r="U6" s="323">
        <f t="shared" si="15"/>
        <v>1.1499999999999995</v>
      </c>
      <c r="V6" s="288" t="s">
        <v>217</v>
      </c>
      <c r="W6" s="367">
        <v>46218</v>
      </c>
      <c r="X6" s="316" t="s">
        <v>219</v>
      </c>
      <c r="Y6" s="289"/>
      <c r="Z6" s="289"/>
      <c r="AA6" s="324"/>
      <c r="AB6" s="326"/>
      <c r="AC6" s="326"/>
      <c r="AD6" s="326">
        <f t="shared" si="11"/>
        <v>7</v>
      </c>
      <c r="AE6" s="324">
        <f t="shared" ref="AE6:AE11" si="18">AC6-AD6</f>
        <v>-7</v>
      </c>
      <c r="AF6" s="313" t="s">
        <v>203</v>
      </c>
      <c r="AG6" s="448" t="s">
        <v>215</v>
      </c>
      <c r="AH6" s="433">
        <f t="shared" si="16"/>
        <v>0</v>
      </c>
      <c r="AI6" s="364">
        <f t="shared" si="5"/>
        <v>33</v>
      </c>
      <c r="AJ6" s="313" t="s">
        <v>216</v>
      </c>
      <c r="AK6" s="331">
        <f t="shared" si="12"/>
        <v>-46221</v>
      </c>
      <c r="AL6" s="364">
        <f t="shared" si="13"/>
        <v>30</v>
      </c>
      <c r="AM6" s="313"/>
      <c r="AN6" s="332" t="s">
        <v>115</v>
      </c>
      <c r="AO6" s="332" t="s">
        <v>115</v>
      </c>
      <c r="AP6" s="369"/>
      <c r="AQ6" s="315" t="s">
        <v>147</v>
      </c>
      <c r="AR6" s="333">
        <v>46218</v>
      </c>
      <c r="AS6" s="333">
        <v>46223</v>
      </c>
      <c r="AT6" s="385" t="s">
        <v>128</v>
      </c>
      <c r="AU6" s="333">
        <v>46214</v>
      </c>
      <c r="AV6" s="333">
        <v>46223</v>
      </c>
      <c r="AW6" s="333">
        <v>46225</v>
      </c>
      <c r="AX6" s="315"/>
      <c r="AY6" s="315"/>
      <c r="AZ6" s="315"/>
      <c r="BA6" s="534"/>
      <c r="BB6" s="315"/>
      <c r="BC6" s="315" t="s">
        <v>151</v>
      </c>
      <c r="BD6" s="535"/>
    </row>
    <row r="7" spans="1:56" s="334" customFormat="1" ht="24" customHeight="1">
      <c r="A7" s="313" t="s">
        <v>143</v>
      </c>
      <c r="B7" s="317" t="s">
        <v>110</v>
      </c>
      <c r="C7" s="318" t="s">
        <v>106</v>
      </c>
      <c r="D7" s="315" t="s">
        <v>70</v>
      </c>
      <c r="E7" s="336" t="s">
        <v>192</v>
      </c>
      <c r="F7" s="336" t="s">
        <v>117</v>
      </c>
      <c r="G7" s="342" t="s">
        <v>220</v>
      </c>
      <c r="H7" s="350">
        <v>46230</v>
      </c>
      <c r="I7" s="350">
        <v>46221</v>
      </c>
      <c r="J7" s="313" t="s">
        <v>3</v>
      </c>
      <c r="K7" s="323" t="s">
        <v>30</v>
      </c>
      <c r="L7" s="365">
        <v>330</v>
      </c>
      <c r="M7" s="365">
        <v>373</v>
      </c>
      <c r="N7" s="194">
        <v>9</v>
      </c>
      <c r="O7" s="315" t="s">
        <v>114</v>
      </c>
      <c r="P7" s="344">
        <v>8.85</v>
      </c>
      <c r="Q7" s="323">
        <f t="shared" si="14"/>
        <v>3301.0499999999997</v>
      </c>
      <c r="R7" s="323" t="s">
        <v>30</v>
      </c>
      <c r="S7" s="322">
        <v>7.7</v>
      </c>
      <c r="T7" s="323">
        <f t="shared" si="17"/>
        <v>2872.1</v>
      </c>
      <c r="U7" s="323">
        <f t="shared" si="15"/>
        <v>1.1499999999999995</v>
      </c>
      <c r="V7" s="288" t="s">
        <v>217</v>
      </c>
      <c r="W7" s="367">
        <v>46218</v>
      </c>
      <c r="X7" s="316" t="s">
        <v>219</v>
      </c>
      <c r="Y7" s="289"/>
      <c r="Z7" s="289"/>
      <c r="AA7" s="324"/>
      <c r="AB7" s="326"/>
      <c r="AC7" s="326"/>
      <c r="AD7" s="326">
        <f t="shared" si="11"/>
        <v>7</v>
      </c>
      <c r="AE7" s="324">
        <f t="shared" si="18"/>
        <v>-7</v>
      </c>
      <c r="AF7" s="313" t="s">
        <v>203</v>
      </c>
      <c r="AG7" s="448" t="s">
        <v>215</v>
      </c>
      <c r="AH7" s="433">
        <f t="shared" si="16"/>
        <v>43</v>
      </c>
      <c r="AI7" s="364">
        <f t="shared" si="5"/>
        <v>33</v>
      </c>
      <c r="AJ7" s="313" t="s">
        <v>216</v>
      </c>
      <c r="AK7" s="331">
        <f t="shared" si="12"/>
        <v>-46221</v>
      </c>
      <c r="AL7" s="364">
        <f t="shared" si="13"/>
        <v>30</v>
      </c>
      <c r="AM7" s="313"/>
      <c r="AN7" s="332" t="s">
        <v>115</v>
      </c>
      <c r="AO7" s="332" t="s">
        <v>115</v>
      </c>
      <c r="AP7" s="369"/>
      <c r="AQ7" s="315" t="s">
        <v>147</v>
      </c>
      <c r="AR7" s="333">
        <v>46218</v>
      </c>
      <c r="AS7" s="333">
        <v>46223</v>
      </c>
      <c r="AT7" s="385" t="s">
        <v>128</v>
      </c>
      <c r="AU7" s="333">
        <v>46214</v>
      </c>
      <c r="AV7" s="333">
        <v>46223</v>
      </c>
      <c r="AW7" s="333">
        <v>46225</v>
      </c>
      <c r="AX7" s="315"/>
      <c r="AY7" s="315"/>
      <c r="AZ7" s="315"/>
      <c r="BA7" s="534"/>
      <c r="BB7" s="315"/>
      <c r="BC7" s="315" t="s">
        <v>151</v>
      </c>
      <c r="BD7" s="535"/>
    </row>
    <row r="8" spans="1:56" s="334" customFormat="1" ht="24" customHeight="1">
      <c r="A8" s="313" t="s">
        <v>143</v>
      </c>
      <c r="B8" s="317" t="s">
        <v>110</v>
      </c>
      <c r="C8" s="318" t="s">
        <v>191</v>
      </c>
      <c r="D8" s="315" t="s">
        <v>70</v>
      </c>
      <c r="E8" s="336" t="s">
        <v>192</v>
      </c>
      <c r="F8" s="336" t="s">
        <v>117</v>
      </c>
      <c r="G8" s="288">
        <v>10242608</v>
      </c>
      <c r="H8" s="350">
        <v>46230</v>
      </c>
      <c r="I8" s="350">
        <v>46221</v>
      </c>
      <c r="J8" s="313" t="s">
        <v>3</v>
      </c>
      <c r="K8" s="323" t="s">
        <v>30</v>
      </c>
      <c r="L8" s="365">
        <v>400</v>
      </c>
      <c r="M8" s="194">
        <v>400</v>
      </c>
      <c r="N8" s="194">
        <v>13</v>
      </c>
      <c r="O8" s="315" t="s">
        <v>114</v>
      </c>
      <c r="P8" s="344">
        <v>8.6999999999999993</v>
      </c>
      <c r="Q8" s="323">
        <f t="shared" si="14"/>
        <v>3479.9999999999995</v>
      </c>
      <c r="R8" s="323" t="s">
        <v>30</v>
      </c>
      <c r="S8" s="322">
        <v>7.45</v>
      </c>
      <c r="T8" s="323">
        <f t="shared" si="17"/>
        <v>2980</v>
      </c>
      <c r="U8" s="323">
        <f t="shared" si="15"/>
        <v>1.2499999999999991</v>
      </c>
      <c r="V8" s="313" t="s">
        <v>224</v>
      </c>
      <c r="W8" s="367">
        <v>46216</v>
      </c>
      <c r="X8" s="316" t="s">
        <v>225</v>
      </c>
      <c r="Y8" s="289"/>
      <c r="Z8" s="289"/>
      <c r="AA8" s="324"/>
      <c r="AB8" s="326"/>
      <c r="AC8" s="326"/>
      <c r="AD8" s="326">
        <f t="shared" si="11"/>
        <v>7</v>
      </c>
      <c r="AE8" s="324">
        <f t="shared" si="18"/>
        <v>-7</v>
      </c>
      <c r="AF8" s="313" t="s">
        <v>203</v>
      </c>
      <c r="AG8" s="448" t="s">
        <v>226</v>
      </c>
      <c r="AH8" s="433">
        <f t="shared" si="16"/>
        <v>0</v>
      </c>
      <c r="AI8" s="364">
        <f t="shared" si="5"/>
        <v>33</v>
      </c>
      <c r="AJ8" s="313" t="s">
        <v>216</v>
      </c>
      <c r="AK8" s="331">
        <f t="shared" si="12"/>
        <v>-46221</v>
      </c>
      <c r="AL8" s="364">
        <f t="shared" si="13"/>
        <v>30</v>
      </c>
      <c r="AM8" s="313"/>
      <c r="AN8" s="332" t="s">
        <v>115</v>
      </c>
      <c r="AO8" s="332" t="s">
        <v>115</v>
      </c>
      <c r="AP8" s="369">
        <v>46221</v>
      </c>
      <c r="AQ8" s="315" t="s">
        <v>147</v>
      </c>
      <c r="AR8" s="333">
        <v>46222</v>
      </c>
      <c r="AS8" s="333">
        <v>46223</v>
      </c>
      <c r="AT8" s="385" t="s">
        <v>128</v>
      </c>
      <c r="AU8" s="333">
        <v>46222</v>
      </c>
      <c r="AV8" s="333">
        <v>46223</v>
      </c>
      <c r="AW8" s="333">
        <v>46225</v>
      </c>
      <c r="AX8" s="315"/>
      <c r="AY8" s="315"/>
      <c r="AZ8" s="315"/>
      <c r="BA8" s="534"/>
      <c r="BB8" s="315"/>
      <c r="BC8" s="315" t="s">
        <v>151</v>
      </c>
      <c r="BD8" s="535"/>
    </row>
    <row r="9" spans="1:56" s="334" customFormat="1" ht="24" customHeight="1">
      <c r="A9" s="313" t="s">
        <v>143</v>
      </c>
      <c r="B9" s="317" t="s">
        <v>110</v>
      </c>
      <c r="C9" s="318" t="s">
        <v>191</v>
      </c>
      <c r="D9" s="315" t="s">
        <v>70</v>
      </c>
      <c r="E9" s="336" t="s">
        <v>192</v>
      </c>
      <c r="F9" s="336" t="s">
        <v>117</v>
      </c>
      <c r="G9" s="288" t="s">
        <v>223</v>
      </c>
      <c r="H9" s="350">
        <v>46230</v>
      </c>
      <c r="I9" s="350">
        <v>46221</v>
      </c>
      <c r="J9" s="313" t="s">
        <v>3</v>
      </c>
      <c r="K9" s="323" t="s">
        <v>30</v>
      </c>
      <c r="L9" s="365">
        <v>300</v>
      </c>
      <c r="M9" s="194">
        <v>300</v>
      </c>
      <c r="N9" s="194">
        <v>10</v>
      </c>
      <c r="O9" s="315" t="s">
        <v>114</v>
      </c>
      <c r="P9" s="344">
        <v>8.6999999999999993</v>
      </c>
      <c r="Q9" s="323">
        <f t="shared" si="14"/>
        <v>2610</v>
      </c>
      <c r="R9" s="323" t="s">
        <v>30</v>
      </c>
      <c r="S9" s="322">
        <v>7.45</v>
      </c>
      <c r="T9" s="323">
        <f t="shared" si="17"/>
        <v>2235</v>
      </c>
      <c r="U9" s="323">
        <f t="shared" si="15"/>
        <v>1.2499999999999991</v>
      </c>
      <c r="V9" s="313" t="s">
        <v>224</v>
      </c>
      <c r="W9" s="367">
        <v>46216</v>
      </c>
      <c r="X9" s="316" t="s">
        <v>225</v>
      </c>
      <c r="Y9" s="289"/>
      <c r="Z9" s="289"/>
      <c r="AA9" s="324"/>
      <c r="AB9" s="326"/>
      <c r="AC9" s="326"/>
      <c r="AD9" s="326">
        <f t="shared" si="11"/>
        <v>7</v>
      </c>
      <c r="AE9" s="324">
        <f t="shared" si="18"/>
        <v>-7</v>
      </c>
      <c r="AF9" s="313" t="s">
        <v>203</v>
      </c>
      <c r="AG9" s="448" t="s">
        <v>226</v>
      </c>
      <c r="AH9" s="433">
        <f t="shared" si="16"/>
        <v>0</v>
      </c>
      <c r="AI9" s="364">
        <f t="shared" si="5"/>
        <v>33</v>
      </c>
      <c r="AJ9" s="313" t="s">
        <v>216</v>
      </c>
      <c r="AK9" s="331">
        <f t="shared" si="12"/>
        <v>-46221</v>
      </c>
      <c r="AL9" s="364">
        <f>BD9+30</f>
        <v>30</v>
      </c>
      <c r="AM9" s="313"/>
      <c r="AN9" s="332" t="s">
        <v>115</v>
      </c>
      <c r="AO9" s="332" t="s">
        <v>115</v>
      </c>
      <c r="AP9" s="369">
        <v>46221</v>
      </c>
      <c r="AQ9" s="315" t="s">
        <v>147</v>
      </c>
      <c r="AR9" s="333">
        <v>46222</v>
      </c>
      <c r="AS9" s="333">
        <v>46223</v>
      </c>
      <c r="AT9" s="385" t="s">
        <v>128</v>
      </c>
      <c r="AU9" s="333">
        <v>46222</v>
      </c>
      <c r="AV9" s="333">
        <v>46223</v>
      </c>
      <c r="AW9" s="333">
        <v>46225</v>
      </c>
      <c r="AX9" s="315"/>
      <c r="AY9" s="315"/>
      <c r="AZ9" s="315"/>
      <c r="BA9" s="534"/>
      <c r="BB9" s="315"/>
      <c r="BC9" s="315" t="s">
        <v>151</v>
      </c>
      <c r="BD9" s="535"/>
    </row>
    <row r="10" spans="1:56" s="334" customFormat="1" ht="24" customHeight="1">
      <c r="A10" s="313" t="s">
        <v>143</v>
      </c>
      <c r="B10" s="317"/>
      <c r="C10" s="318"/>
      <c r="D10" s="315"/>
      <c r="E10" s="336"/>
      <c r="F10" s="288"/>
      <c r="G10" s="288"/>
      <c r="H10" s="371"/>
      <c r="I10" s="371"/>
      <c r="J10" s="313" t="s">
        <v>3</v>
      </c>
      <c r="K10" s="323" t="s">
        <v>30</v>
      </c>
      <c r="L10" s="365"/>
      <c r="M10" s="365"/>
      <c r="N10" s="366"/>
      <c r="O10" s="315" t="s">
        <v>114</v>
      </c>
      <c r="P10" s="344">
        <v>0</v>
      </c>
      <c r="Q10" s="323">
        <f>M10*P10</f>
        <v>0</v>
      </c>
      <c r="R10" s="323" t="s">
        <v>30</v>
      </c>
      <c r="S10" s="322">
        <v>0</v>
      </c>
      <c r="T10" s="323">
        <f>M10*S10</f>
        <v>0</v>
      </c>
      <c r="U10" s="323">
        <f>P10-S10</f>
        <v>0</v>
      </c>
      <c r="V10" s="313"/>
      <c r="W10" s="367"/>
      <c r="X10" s="316"/>
      <c r="Y10" s="289"/>
      <c r="Z10" s="289"/>
      <c r="AA10" s="324"/>
      <c r="AB10" s="326"/>
      <c r="AC10" s="326"/>
      <c r="AD10" s="326">
        <f t="shared" ref="AD10:AD27" si="19">Y10+7</f>
        <v>7</v>
      </c>
      <c r="AE10" s="324">
        <f>AC10-AD10</f>
        <v>-7</v>
      </c>
      <c r="AF10" s="313"/>
      <c r="AG10" s="464"/>
      <c r="AH10" s="433">
        <f t="shared" si="16"/>
        <v>0</v>
      </c>
      <c r="AI10" s="364">
        <f t="shared" si="5"/>
        <v>33</v>
      </c>
      <c r="AJ10" s="313"/>
      <c r="AK10" s="331">
        <f>Y10-I10</f>
        <v>0</v>
      </c>
      <c r="AL10" s="364">
        <f>BD10+30</f>
        <v>30</v>
      </c>
      <c r="AM10" s="313"/>
      <c r="AN10" s="332" t="s">
        <v>115</v>
      </c>
      <c r="AO10" s="332" t="s">
        <v>115</v>
      </c>
      <c r="AP10" s="369"/>
      <c r="AQ10" s="315" t="s">
        <v>166</v>
      </c>
      <c r="AR10" s="333"/>
      <c r="AS10" s="333"/>
      <c r="AT10" s="385" t="s">
        <v>128</v>
      </c>
      <c r="AU10" s="333"/>
      <c r="AV10" s="333"/>
      <c r="AW10" s="333"/>
      <c r="AX10" s="352"/>
      <c r="AY10" s="315"/>
      <c r="AZ10" s="315"/>
      <c r="BA10" s="315"/>
      <c r="BB10" s="315"/>
      <c r="BC10" s="315" t="s">
        <v>151</v>
      </c>
      <c r="BD10" s="333"/>
    </row>
    <row r="11" spans="1:56" s="334" customFormat="1" ht="24" customHeight="1">
      <c r="A11" s="313" t="s">
        <v>143</v>
      </c>
      <c r="B11" s="317"/>
      <c r="C11" s="318"/>
      <c r="D11" s="315"/>
      <c r="E11" s="336"/>
      <c r="F11" s="288"/>
      <c r="G11" s="288"/>
      <c r="H11" s="371"/>
      <c r="I11" s="371"/>
      <c r="J11" s="313" t="s">
        <v>3</v>
      </c>
      <c r="K11" s="323" t="s">
        <v>30</v>
      </c>
      <c r="L11" s="365"/>
      <c r="M11" s="365"/>
      <c r="N11" s="366"/>
      <c r="O11" s="315" t="s">
        <v>114</v>
      </c>
      <c r="P11" s="344">
        <v>0</v>
      </c>
      <c r="Q11" s="323">
        <f>M11*P11</f>
        <v>0</v>
      </c>
      <c r="R11" s="323" t="s">
        <v>30</v>
      </c>
      <c r="S11" s="322">
        <v>0</v>
      </c>
      <c r="T11" s="323">
        <f>M11*S11</f>
        <v>0</v>
      </c>
      <c r="U11" s="323">
        <f>P11-S11</f>
        <v>0</v>
      </c>
      <c r="V11" s="313"/>
      <c r="W11" s="367"/>
      <c r="X11" s="316"/>
      <c r="Y11" s="289"/>
      <c r="Z11" s="289"/>
      <c r="AA11" s="324"/>
      <c r="AB11" s="326"/>
      <c r="AC11" s="326"/>
      <c r="AD11" s="326">
        <f t="shared" si="19"/>
        <v>7</v>
      </c>
      <c r="AE11" s="324">
        <f t="shared" si="18"/>
        <v>-7</v>
      </c>
      <c r="AF11" s="313"/>
      <c r="AG11" s="464"/>
      <c r="AH11" s="433">
        <f t="shared" si="16"/>
        <v>0</v>
      </c>
      <c r="AI11" s="364">
        <f t="shared" si="5"/>
        <v>33</v>
      </c>
      <c r="AJ11" s="313"/>
      <c r="AK11" s="331">
        <f>Y11-I11</f>
        <v>0</v>
      </c>
      <c r="AL11" s="364">
        <f>BD11+30</f>
        <v>30</v>
      </c>
      <c r="AM11" s="313"/>
      <c r="AN11" s="332" t="s">
        <v>115</v>
      </c>
      <c r="AO11" s="332" t="s">
        <v>115</v>
      </c>
      <c r="AP11" s="369"/>
      <c r="AQ11" s="315" t="s">
        <v>166</v>
      </c>
      <c r="AR11" s="333"/>
      <c r="AS11" s="333"/>
      <c r="AT11" s="385" t="s">
        <v>128</v>
      </c>
      <c r="AU11" s="333"/>
      <c r="AV11" s="333"/>
      <c r="AW11" s="333"/>
      <c r="AX11" s="352"/>
      <c r="AY11" s="315"/>
      <c r="AZ11" s="315"/>
      <c r="BA11" s="315"/>
      <c r="BB11" s="315"/>
      <c r="BC11" s="315" t="s">
        <v>151</v>
      </c>
      <c r="BD11" s="333"/>
    </row>
    <row r="12" spans="1:56" s="334" customFormat="1" ht="24" customHeight="1">
      <c r="A12" s="313" t="s">
        <v>143</v>
      </c>
      <c r="B12" s="317"/>
      <c r="C12" s="318"/>
      <c r="D12" s="315"/>
      <c r="E12" s="336"/>
      <c r="F12" s="288"/>
      <c r="G12" s="288"/>
      <c r="H12" s="371"/>
      <c r="I12" s="371"/>
      <c r="J12" s="313" t="s">
        <v>3</v>
      </c>
      <c r="K12" s="323" t="s">
        <v>30</v>
      </c>
      <c r="L12" s="365"/>
      <c r="M12" s="365"/>
      <c r="N12" s="366"/>
      <c r="O12" s="315" t="s">
        <v>114</v>
      </c>
      <c r="P12" s="344">
        <v>0</v>
      </c>
      <c r="Q12" s="323">
        <f t="shared" si="14"/>
        <v>0</v>
      </c>
      <c r="R12" s="323" t="s">
        <v>30</v>
      </c>
      <c r="S12" s="322">
        <v>0</v>
      </c>
      <c r="T12" s="323">
        <f t="shared" si="17"/>
        <v>0</v>
      </c>
      <c r="U12" s="323">
        <f t="shared" si="15"/>
        <v>0</v>
      </c>
      <c r="V12" s="313"/>
      <c r="W12" s="367"/>
      <c r="X12" s="316"/>
      <c r="Y12" s="289"/>
      <c r="Z12" s="289"/>
      <c r="AA12" s="324"/>
      <c r="AB12" s="326"/>
      <c r="AC12" s="326"/>
      <c r="AD12" s="326">
        <f t="shared" si="19"/>
        <v>7</v>
      </c>
      <c r="AE12" s="324">
        <f t="shared" ref="AE12:AE17" si="20">AC12-AD12</f>
        <v>-7</v>
      </c>
      <c r="AF12" s="313"/>
      <c r="AG12" s="464"/>
      <c r="AH12" s="433">
        <f t="shared" si="16"/>
        <v>0</v>
      </c>
      <c r="AI12" s="364">
        <f t="shared" ref="AI12:AI20" si="21">AC12+30+3</f>
        <v>33</v>
      </c>
      <c r="AJ12" s="313"/>
      <c r="AK12" s="331">
        <f t="shared" si="12"/>
        <v>0</v>
      </c>
      <c r="AL12" s="364">
        <f>BD12+30</f>
        <v>30</v>
      </c>
      <c r="AM12" s="313"/>
      <c r="AN12" s="332" t="s">
        <v>115</v>
      </c>
      <c r="AO12" s="332" t="s">
        <v>115</v>
      </c>
      <c r="AP12" s="369"/>
      <c r="AQ12" s="315" t="s">
        <v>166</v>
      </c>
      <c r="AR12" s="333"/>
      <c r="AS12" s="333"/>
      <c r="AT12" s="385" t="s">
        <v>128</v>
      </c>
      <c r="AU12" s="333"/>
      <c r="AV12" s="333"/>
      <c r="AW12" s="333"/>
      <c r="AX12" s="352"/>
      <c r="AY12" s="315"/>
      <c r="AZ12" s="315"/>
      <c r="BA12" s="315"/>
      <c r="BB12" s="315"/>
      <c r="BC12" s="315" t="s">
        <v>151</v>
      </c>
      <c r="BD12" s="333"/>
    </row>
    <row r="13" spans="1:56" s="334" customFormat="1" ht="24" customHeight="1">
      <c r="A13" s="313"/>
      <c r="B13" s="317"/>
      <c r="C13" s="318"/>
      <c r="D13" s="315"/>
      <c r="E13" s="336"/>
      <c r="F13" s="288"/>
      <c r="G13" s="288"/>
      <c r="H13" s="371"/>
      <c r="I13" s="371"/>
      <c r="J13" s="313" t="s">
        <v>3</v>
      </c>
      <c r="K13" s="323" t="s">
        <v>30</v>
      </c>
      <c r="L13" s="365"/>
      <c r="M13" s="365"/>
      <c r="N13" s="366"/>
      <c r="O13" s="315" t="s">
        <v>114</v>
      </c>
      <c r="P13" s="344">
        <v>0</v>
      </c>
      <c r="Q13" s="323">
        <f t="shared" si="14"/>
        <v>0</v>
      </c>
      <c r="R13" s="323" t="s">
        <v>30</v>
      </c>
      <c r="S13" s="322">
        <v>0</v>
      </c>
      <c r="T13" s="323">
        <f t="shared" si="17"/>
        <v>0</v>
      </c>
      <c r="U13" s="323">
        <f t="shared" si="15"/>
        <v>0</v>
      </c>
      <c r="V13" s="313"/>
      <c r="W13" s="367"/>
      <c r="X13" s="316"/>
      <c r="Y13" s="289"/>
      <c r="Z13" s="289"/>
      <c r="AA13" s="324"/>
      <c r="AB13" s="326"/>
      <c r="AC13" s="326"/>
      <c r="AD13" s="326">
        <f t="shared" si="19"/>
        <v>7</v>
      </c>
      <c r="AE13" s="324">
        <f t="shared" si="20"/>
        <v>-7</v>
      </c>
      <c r="AF13" s="313"/>
      <c r="AG13" s="464"/>
      <c r="AH13" s="433">
        <f t="shared" si="16"/>
        <v>0</v>
      </c>
      <c r="AI13" s="364">
        <f t="shared" si="21"/>
        <v>33</v>
      </c>
      <c r="AJ13" s="313"/>
      <c r="AK13" s="331">
        <f t="shared" si="12"/>
        <v>0</v>
      </c>
      <c r="AL13" s="364">
        <f>BD13+30</f>
        <v>30</v>
      </c>
      <c r="AM13" s="313"/>
      <c r="AN13" s="332" t="s">
        <v>115</v>
      </c>
      <c r="AO13" s="332" t="s">
        <v>115</v>
      </c>
      <c r="AP13" s="369"/>
      <c r="AQ13" s="315" t="s">
        <v>166</v>
      </c>
      <c r="AR13" s="333"/>
      <c r="AS13" s="333"/>
      <c r="AT13" s="385" t="s">
        <v>128</v>
      </c>
      <c r="AU13" s="333"/>
      <c r="AV13" s="333"/>
      <c r="AW13" s="333"/>
      <c r="AX13" s="352"/>
      <c r="AY13" s="315"/>
      <c r="AZ13" s="315"/>
      <c r="BA13" s="315"/>
      <c r="BB13" s="315"/>
      <c r="BC13" s="315" t="s">
        <v>151</v>
      </c>
      <c r="BD13" s="333"/>
    </row>
    <row r="14" spans="1:56" s="334" customFormat="1" ht="24" customHeight="1">
      <c r="A14" s="313"/>
      <c r="B14" s="317"/>
      <c r="C14" s="318"/>
      <c r="D14" s="315"/>
      <c r="E14" s="336"/>
      <c r="F14" s="318"/>
      <c r="G14" s="318"/>
      <c r="H14" s="371"/>
      <c r="I14" s="371"/>
      <c r="J14" s="313"/>
      <c r="K14" s="323" t="s">
        <v>30</v>
      </c>
      <c r="L14" s="347"/>
      <c r="M14" s="347"/>
      <c r="N14" s="332"/>
      <c r="O14" s="315" t="s">
        <v>114</v>
      </c>
      <c r="P14" s="344">
        <v>0</v>
      </c>
      <c r="Q14" s="323">
        <f t="shared" si="14"/>
        <v>0</v>
      </c>
      <c r="R14" s="323" t="s">
        <v>30</v>
      </c>
      <c r="S14" s="322">
        <v>0</v>
      </c>
      <c r="T14" s="323">
        <f t="shared" si="17"/>
        <v>0</v>
      </c>
      <c r="U14" s="323">
        <f t="shared" si="15"/>
        <v>0</v>
      </c>
      <c r="V14" s="288"/>
      <c r="W14" s="367"/>
      <c r="X14" s="316"/>
      <c r="Y14" s="289"/>
      <c r="Z14" s="289"/>
      <c r="AA14" s="324"/>
      <c r="AB14" s="326"/>
      <c r="AC14" s="326"/>
      <c r="AD14" s="326">
        <f t="shared" si="19"/>
        <v>7</v>
      </c>
      <c r="AE14" s="324">
        <f t="shared" si="20"/>
        <v>-7</v>
      </c>
      <c r="AF14" s="313"/>
      <c r="AG14" s="197"/>
      <c r="AH14" s="433">
        <f t="shared" si="16"/>
        <v>0</v>
      </c>
      <c r="AI14" s="364">
        <f t="shared" si="21"/>
        <v>33</v>
      </c>
      <c r="AJ14" s="313"/>
      <c r="AK14" s="331">
        <f t="shared" ref="AK14:AK17" si="22">Y14-I14</f>
        <v>0</v>
      </c>
      <c r="AL14" s="364">
        <f t="shared" ref="AL14:AL21" si="23">BD14+30</f>
        <v>30</v>
      </c>
      <c r="AM14" s="313"/>
      <c r="AN14" s="332" t="s">
        <v>115</v>
      </c>
      <c r="AO14" s="332" t="s">
        <v>115</v>
      </c>
      <c r="AP14" s="369"/>
      <c r="AQ14" s="315" t="s">
        <v>147</v>
      </c>
      <c r="AR14" s="333"/>
      <c r="AS14" s="333"/>
      <c r="AT14" s="385" t="s">
        <v>128</v>
      </c>
      <c r="AU14" s="333"/>
      <c r="AV14" s="333"/>
      <c r="AW14" s="333"/>
      <c r="AX14" s="352"/>
      <c r="AY14" s="315"/>
      <c r="AZ14" s="315"/>
      <c r="BA14" s="315"/>
      <c r="BB14" s="315"/>
      <c r="BC14" s="315" t="s">
        <v>151</v>
      </c>
      <c r="BD14" s="333"/>
    </row>
    <row r="15" spans="1:56" s="334" customFormat="1" ht="24" customHeight="1">
      <c r="A15" s="313"/>
      <c r="B15" s="317"/>
      <c r="C15" s="318"/>
      <c r="D15" s="315"/>
      <c r="E15" s="336"/>
      <c r="F15" s="318"/>
      <c r="G15" s="318"/>
      <c r="H15" s="371"/>
      <c r="I15" s="371"/>
      <c r="J15" s="313"/>
      <c r="K15" s="323" t="s">
        <v>30</v>
      </c>
      <c r="L15" s="347"/>
      <c r="M15" s="347"/>
      <c r="N15" s="332"/>
      <c r="O15" s="315" t="s">
        <v>114</v>
      </c>
      <c r="P15" s="344">
        <v>0</v>
      </c>
      <c r="Q15" s="323">
        <f t="shared" si="14"/>
        <v>0</v>
      </c>
      <c r="R15" s="323" t="s">
        <v>30</v>
      </c>
      <c r="S15" s="322">
        <v>0</v>
      </c>
      <c r="T15" s="323">
        <f t="shared" ref="T15:T16" si="24">M15*S15</f>
        <v>0</v>
      </c>
      <c r="U15" s="323">
        <f t="shared" ref="U15:U16" si="25">P15-S15</f>
        <v>0</v>
      </c>
      <c r="V15" s="288"/>
      <c r="W15" s="367"/>
      <c r="X15" s="316"/>
      <c r="Y15" s="289"/>
      <c r="Z15" s="289"/>
      <c r="AA15" s="324"/>
      <c r="AB15" s="326"/>
      <c r="AC15" s="326"/>
      <c r="AD15" s="326">
        <f t="shared" ref="AD15:AD16" si="26">Y15+7</f>
        <v>7</v>
      </c>
      <c r="AE15" s="324">
        <f t="shared" ref="AE15:AE16" si="27">AC15-AD15</f>
        <v>-7</v>
      </c>
      <c r="AF15" s="313"/>
      <c r="AG15" s="197"/>
      <c r="AH15" s="433">
        <f t="shared" si="16"/>
        <v>0</v>
      </c>
      <c r="AI15" s="364">
        <f t="shared" si="21"/>
        <v>33</v>
      </c>
      <c r="AJ15" s="313"/>
      <c r="AK15" s="331">
        <f t="shared" ref="AK15:AK16" si="28">Y15-I15</f>
        <v>0</v>
      </c>
      <c r="AL15" s="364">
        <f t="shared" si="23"/>
        <v>30</v>
      </c>
      <c r="AM15" s="313"/>
      <c r="AN15" s="332" t="s">
        <v>115</v>
      </c>
      <c r="AO15" s="332" t="s">
        <v>115</v>
      </c>
      <c r="AP15" s="369"/>
      <c r="AQ15" s="315" t="s">
        <v>147</v>
      </c>
      <c r="AR15" s="333"/>
      <c r="AS15" s="333"/>
      <c r="AT15" s="385" t="s">
        <v>128</v>
      </c>
      <c r="AU15" s="333"/>
      <c r="AV15" s="333"/>
      <c r="AW15" s="333"/>
      <c r="AX15" s="352"/>
      <c r="AY15" s="315"/>
      <c r="AZ15" s="315"/>
      <c r="BA15" s="315"/>
      <c r="BB15" s="315"/>
      <c r="BC15" s="315" t="s">
        <v>151</v>
      </c>
      <c r="BD15" s="333"/>
    </row>
    <row r="16" spans="1:56" s="334" customFormat="1" ht="24" customHeight="1">
      <c r="A16" s="313"/>
      <c r="B16" s="317"/>
      <c r="C16" s="318"/>
      <c r="D16" s="315"/>
      <c r="E16" s="336"/>
      <c r="F16" s="318"/>
      <c r="G16" s="318"/>
      <c r="H16" s="489"/>
      <c r="I16" s="489"/>
      <c r="J16" s="313"/>
      <c r="K16" s="323" t="s">
        <v>30</v>
      </c>
      <c r="L16" s="347"/>
      <c r="M16" s="347"/>
      <c r="N16" s="332"/>
      <c r="O16" s="315" t="s">
        <v>114</v>
      </c>
      <c r="P16" s="344">
        <v>0</v>
      </c>
      <c r="Q16" s="323">
        <f t="shared" ref="Q16" si="29">M16*P16</f>
        <v>0</v>
      </c>
      <c r="R16" s="323" t="s">
        <v>30</v>
      </c>
      <c r="S16" s="322">
        <v>0</v>
      </c>
      <c r="T16" s="323">
        <f t="shared" si="24"/>
        <v>0</v>
      </c>
      <c r="U16" s="323">
        <f t="shared" si="25"/>
        <v>0</v>
      </c>
      <c r="V16" s="288"/>
      <c r="W16" s="367"/>
      <c r="X16" s="316"/>
      <c r="Y16" s="289"/>
      <c r="Z16" s="289"/>
      <c r="AA16" s="324"/>
      <c r="AB16" s="326"/>
      <c r="AC16" s="326"/>
      <c r="AD16" s="326">
        <f t="shared" si="26"/>
        <v>7</v>
      </c>
      <c r="AE16" s="324">
        <f t="shared" si="27"/>
        <v>-7</v>
      </c>
      <c r="AF16" s="313"/>
      <c r="AG16" s="197"/>
      <c r="AH16" s="433">
        <f t="shared" si="16"/>
        <v>0</v>
      </c>
      <c r="AI16" s="364">
        <f t="shared" si="21"/>
        <v>33</v>
      </c>
      <c r="AJ16" s="313"/>
      <c r="AK16" s="331">
        <f t="shared" si="28"/>
        <v>0</v>
      </c>
      <c r="AL16" s="364">
        <f t="shared" si="23"/>
        <v>30</v>
      </c>
      <c r="AM16" s="313"/>
      <c r="AN16" s="332" t="s">
        <v>115</v>
      </c>
      <c r="AO16" s="332" t="s">
        <v>115</v>
      </c>
      <c r="AP16" s="369"/>
      <c r="AQ16" s="315" t="s">
        <v>147</v>
      </c>
      <c r="AR16" s="333"/>
      <c r="AS16" s="333"/>
      <c r="AT16" s="385" t="s">
        <v>128</v>
      </c>
      <c r="AU16" s="333"/>
      <c r="AV16" s="333"/>
      <c r="AW16" s="333"/>
      <c r="AX16" s="352"/>
      <c r="AY16" s="315"/>
      <c r="AZ16" s="315"/>
      <c r="BA16" s="315"/>
      <c r="BB16" s="315"/>
      <c r="BC16" s="315" t="s">
        <v>151</v>
      </c>
      <c r="BD16" s="333"/>
    </row>
    <row r="17" spans="1:56" s="500" customFormat="1" ht="24" customHeight="1">
      <c r="A17" s="486"/>
      <c r="B17" s="487"/>
      <c r="C17" s="288"/>
      <c r="D17" s="332"/>
      <c r="E17" s="488"/>
      <c r="F17" s="288"/>
      <c r="G17" s="288"/>
      <c r="H17" s="489"/>
      <c r="I17" s="489"/>
      <c r="J17" s="486"/>
      <c r="K17" s="490" t="s">
        <v>30</v>
      </c>
      <c r="L17" s="491"/>
      <c r="M17" s="491"/>
      <c r="N17" s="492"/>
      <c r="O17" s="332" t="s">
        <v>114</v>
      </c>
      <c r="P17" s="493">
        <v>0</v>
      </c>
      <c r="Q17" s="490">
        <f t="shared" si="14"/>
        <v>0</v>
      </c>
      <c r="R17" s="490" t="s">
        <v>30</v>
      </c>
      <c r="S17" s="322">
        <v>0</v>
      </c>
      <c r="T17" s="490">
        <f t="shared" si="17"/>
        <v>0</v>
      </c>
      <c r="U17" s="490">
        <f t="shared" si="15"/>
        <v>0</v>
      </c>
      <c r="V17" s="288"/>
      <c r="W17" s="494"/>
      <c r="X17" s="495"/>
      <c r="Y17" s="289"/>
      <c r="Z17" s="289"/>
      <c r="AA17" s="496"/>
      <c r="AB17" s="497"/>
      <c r="AC17" s="497"/>
      <c r="AD17" s="497">
        <f t="shared" si="19"/>
        <v>7</v>
      </c>
      <c r="AE17" s="496">
        <f t="shared" si="20"/>
        <v>-7</v>
      </c>
      <c r="AF17" s="486"/>
      <c r="AG17" s="501"/>
      <c r="AH17" s="433">
        <f t="shared" si="16"/>
        <v>0</v>
      </c>
      <c r="AI17" s="364">
        <f t="shared" si="21"/>
        <v>33</v>
      </c>
      <c r="AJ17" s="313"/>
      <c r="AK17" s="498">
        <f t="shared" si="22"/>
        <v>0</v>
      </c>
      <c r="AL17" s="364">
        <f t="shared" si="23"/>
        <v>30</v>
      </c>
      <c r="AM17" s="486"/>
      <c r="AN17" s="332" t="s">
        <v>115</v>
      </c>
      <c r="AO17" s="332" t="s">
        <v>115</v>
      </c>
      <c r="AP17" s="369"/>
      <c r="AQ17" s="332" t="s">
        <v>147</v>
      </c>
      <c r="AR17" s="333"/>
      <c r="AS17" s="333"/>
      <c r="AT17" s="499" t="s">
        <v>128</v>
      </c>
      <c r="AU17" s="333"/>
      <c r="AV17" s="333"/>
      <c r="AW17" s="369"/>
      <c r="AX17" s="346"/>
      <c r="AY17" s="315"/>
      <c r="AZ17" s="332"/>
      <c r="BA17" s="332"/>
      <c r="BB17" s="332"/>
      <c r="BC17" s="315" t="s">
        <v>151</v>
      </c>
      <c r="BD17" s="333"/>
    </row>
    <row r="18" spans="1:56" s="334" customFormat="1" ht="24" customHeight="1">
      <c r="A18" s="313"/>
      <c r="B18" s="317"/>
      <c r="C18" s="318"/>
      <c r="D18" s="315"/>
      <c r="E18" s="336"/>
      <c r="F18" s="336"/>
      <c r="G18" s="336"/>
      <c r="H18" s="371"/>
      <c r="I18" s="350"/>
      <c r="J18" s="313"/>
      <c r="K18" s="323" t="s">
        <v>30</v>
      </c>
      <c r="L18" s="320"/>
      <c r="M18" s="320"/>
      <c r="N18" s="335"/>
      <c r="O18" s="315" t="s">
        <v>114</v>
      </c>
      <c r="P18" s="322">
        <v>0</v>
      </c>
      <c r="Q18" s="323">
        <f t="shared" ref="Q18" si="30">M18*P18</f>
        <v>0</v>
      </c>
      <c r="R18" s="323" t="s">
        <v>30</v>
      </c>
      <c r="S18" s="322">
        <v>0</v>
      </c>
      <c r="T18" s="323">
        <f>M18*S18</f>
        <v>0</v>
      </c>
      <c r="U18" s="323">
        <f t="shared" ref="U18" si="31">P18-S18</f>
        <v>0</v>
      </c>
      <c r="V18" s="288"/>
      <c r="W18" s="367"/>
      <c r="X18" s="316"/>
      <c r="Y18" s="289"/>
      <c r="Z18" s="289"/>
      <c r="AA18" s="324"/>
      <c r="AB18" s="497"/>
      <c r="AC18" s="497"/>
      <c r="AD18" s="326">
        <f t="shared" si="19"/>
        <v>7</v>
      </c>
      <c r="AE18" s="324">
        <f t="shared" ref="AE18" si="32">AC18-AD18</f>
        <v>-7</v>
      </c>
      <c r="AF18" s="313"/>
      <c r="AG18" s="448"/>
      <c r="AH18" s="433">
        <f t="shared" si="16"/>
        <v>0</v>
      </c>
      <c r="AI18" s="364">
        <f t="shared" si="21"/>
        <v>33</v>
      </c>
      <c r="AJ18" s="313"/>
      <c r="AK18" s="331">
        <f>Y18-I18</f>
        <v>0</v>
      </c>
      <c r="AL18" s="364">
        <f t="shared" si="23"/>
        <v>30</v>
      </c>
      <c r="AM18" s="313"/>
      <c r="AN18" s="332" t="s">
        <v>115</v>
      </c>
      <c r="AO18" s="332" t="s">
        <v>115</v>
      </c>
      <c r="AP18" s="369"/>
      <c r="AQ18" s="315" t="s">
        <v>147</v>
      </c>
      <c r="AR18" s="333"/>
      <c r="AS18" s="333"/>
      <c r="AT18" s="385" t="s">
        <v>128</v>
      </c>
      <c r="AU18" s="333"/>
      <c r="AV18" s="333"/>
      <c r="AW18" s="369"/>
      <c r="AX18" s="315"/>
      <c r="AY18" s="315"/>
      <c r="AZ18" s="315"/>
      <c r="BA18" s="332"/>
      <c r="BB18" s="332"/>
      <c r="BC18" s="315" t="s">
        <v>151</v>
      </c>
      <c r="BD18" s="333"/>
    </row>
    <row r="19" spans="1:56" s="334" customFormat="1" ht="24" customHeight="1">
      <c r="A19" s="313"/>
      <c r="B19" s="317"/>
      <c r="C19" s="318"/>
      <c r="D19" s="315"/>
      <c r="E19" s="336"/>
      <c r="F19" s="336"/>
      <c r="G19" s="336"/>
      <c r="H19" s="371"/>
      <c r="I19" s="350"/>
      <c r="J19" s="313"/>
      <c r="K19" s="323" t="s">
        <v>30</v>
      </c>
      <c r="L19" s="320"/>
      <c r="M19" s="320"/>
      <c r="N19" s="335"/>
      <c r="O19" s="315" t="s">
        <v>114</v>
      </c>
      <c r="P19" s="322">
        <v>0</v>
      </c>
      <c r="Q19" s="323">
        <f t="shared" ref="Q19" si="33">M19*P19</f>
        <v>0</v>
      </c>
      <c r="R19" s="323" t="s">
        <v>30</v>
      </c>
      <c r="S19" s="322">
        <v>0</v>
      </c>
      <c r="T19" s="323">
        <f>M19*S19</f>
        <v>0</v>
      </c>
      <c r="U19" s="323">
        <f t="shared" ref="U19" si="34">P19-S19</f>
        <v>0</v>
      </c>
      <c r="V19" s="288"/>
      <c r="W19" s="367"/>
      <c r="X19" s="316"/>
      <c r="Y19" s="289"/>
      <c r="Z19" s="289"/>
      <c r="AA19" s="324"/>
      <c r="AB19" s="497"/>
      <c r="AC19" s="497"/>
      <c r="AD19" s="326">
        <f t="shared" ref="AD19" si="35">Y19+7</f>
        <v>7</v>
      </c>
      <c r="AE19" s="324">
        <f t="shared" ref="AE19" si="36">AC19-AD19</f>
        <v>-7</v>
      </c>
      <c r="AF19" s="313"/>
      <c r="AG19" s="448"/>
      <c r="AH19" s="433">
        <f t="shared" ref="AH19" si="37">M19-L19</f>
        <v>0</v>
      </c>
      <c r="AI19" s="364">
        <f t="shared" si="21"/>
        <v>33</v>
      </c>
      <c r="AJ19" s="313"/>
      <c r="AK19" s="331">
        <f>Y19-I19</f>
        <v>0</v>
      </c>
      <c r="AL19" s="364">
        <f t="shared" si="23"/>
        <v>30</v>
      </c>
      <c r="AM19" s="313"/>
      <c r="AN19" s="332" t="s">
        <v>115</v>
      </c>
      <c r="AO19" s="332" t="s">
        <v>115</v>
      </c>
      <c r="AP19" s="369"/>
      <c r="AQ19" s="315" t="s">
        <v>147</v>
      </c>
      <c r="AR19" s="333"/>
      <c r="AS19" s="333"/>
      <c r="AT19" s="385" t="s">
        <v>128</v>
      </c>
      <c r="AU19" s="333"/>
      <c r="AV19" s="333"/>
      <c r="AW19" s="369"/>
      <c r="AX19" s="315"/>
      <c r="AY19" s="315"/>
      <c r="AZ19" s="315"/>
      <c r="BA19" s="332"/>
      <c r="BB19" s="332"/>
      <c r="BC19" s="315" t="s">
        <v>151</v>
      </c>
      <c r="BD19" s="333"/>
    </row>
    <row r="20" spans="1:56" s="334" customFormat="1" ht="24" customHeight="1">
      <c r="A20" s="313"/>
      <c r="B20" s="317"/>
      <c r="C20" s="318"/>
      <c r="D20" s="315"/>
      <c r="E20" s="336"/>
      <c r="F20" s="336"/>
      <c r="G20" s="336"/>
      <c r="H20" s="371"/>
      <c r="I20" s="350"/>
      <c r="J20" s="313"/>
      <c r="K20" s="323" t="s">
        <v>30</v>
      </c>
      <c r="L20" s="320"/>
      <c r="M20" s="320"/>
      <c r="N20" s="335"/>
      <c r="O20" s="315" t="s">
        <v>114</v>
      </c>
      <c r="P20" s="322">
        <v>0</v>
      </c>
      <c r="Q20" s="323">
        <f t="shared" ref="Q20" si="38">M20*P20</f>
        <v>0</v>
      </c>
      <c r="R20" s="323" t="s">
        <v>30</v>
      </c>
      <c r="S20" s="322">
        <v>0</v>
      </c>
      <c r="T20" s="323">
        <f>M20*S20</f>
        <v>0</v>
      </c>
      <c r="U20" s="323">
        <f t="shared" ref="U20" si="39">P20-S20</f>
        <v>0</v>
      </c>
      <c r="V20" s="288"/>
      <c r="W20" s="367"/>
      <c r="X20" s="316"/>
      <c r="Y20" s="289"/>
      <c r="Z20" s="289"/>
      <c r="AA20" s="324"/>
      <c r="AB20" s="497"/>
      <c r="AC20" s="497"/>
      <c r="AD20" s="326">
        <f t="shared" ref="AD20" si="40">Y20+7</f>
        <v>7</v>
      </c>
      <c r="AE20" s="324">
        <f t="shared" ref="AE20" si="41">AC20-AD20</f>
        <v>-7</v>
      </c>
      <c r="AF20" s="313"/>
      <c r="AG20" s="448"/>
      <c r="AH20" s="433">
        <f t="shared" ref="AH20" si="42">M20-L20</f>
        <v>0</v>
      </c>
      <c r="AI20" s="364">
        <f t="shared" si="21"/>
        <v>33</v>
      </c>
      <c r="AJ20" s="313"/>
      <c r="AK20" s="331">
        <f>Y20-I20</f>
        <v>0</v>
      </c>
      <c r="AL20" s="364">
        <f t="shared" si="23"/>
        <v>30</v>
      </c>
      <c r="AM20" s="313"/>
      <c r="AN20" s="332" t="s">
        <v>115</v>
      </c>
      <c r="AO20" s="332" t="s">
        <v>115</v>
      </c>
      <c r="AP20" s="369"/>
      <c r="AQ20" s="315" t="s">
        <v>147</v>
      </c>
      <c r="AR20" s="333"/>
      <c r="AS20" s="333"/>
      <c r="AT20" s="385" t="s">
        <v>128</v>
      </c>
      <c r="AU20" s="333"/>
      <c r="AV20" s="333"/>
      <c r="AW20" s="369"/>
      <c r="AX20" s="315"/>
      <c r="AY20" s="315"/>
      <c r="AZ20" s="315"/>
      <c r="BA20" s="332"/>
      <c r="BB20" s="332"/>
      <c r="BC20" s="315" t="s">
        <v>151</v>
      </c>
      <c r="BD20" s="333"/>
    </row>
    <row r="21" spans="1:56" s="334" customFormat="1" ht="24" customHeight="1">
      <c r="A21" s="313"/>
      <c r="B21" s="314"/>
      <c r="C21" s="314"/>
      <c r="D21" s="315"/>
      <c r="E21" s="314"/>
      <c r="F21" s="314"/>
      <c r="G21" s="314"/>
      <c r="H21" s="350"/>
      <c r="I21" s="350"/>
      <c r="J21" s="313" t="s">
        <v>3</v>
      </c>
      <c r="K21" s="323" t="s">
        <v>30</v>
      </c>
      <c r="L21" s="347"/>
      <c r="M21" s="347"/>
      <c r="N21" s="332"/>
      <c r="O21" s="315" t="s">
        <v>114</v>
      </c>
      <c r="P21" s="322">
        <v>0</v>
      </c>
      <c r="Q21" s="323">
        <f t="shared" si="14"/>
        <v>0</v>
      </c>
      <c r="R21" s="323" t="s">
        <v>30</v>
      </c>
      <c r="S21" s="322">
        <v>0</v>
      </c>
      <c r="T21" s="323">
        <f t="shared" si="17"/>
        <v>0</v>
      </c>
      <c r="U21" s="323">
        <f t="shared" si="15"/>
        <v>0</v>
      </c>
      <c r="V21" s="313"/>
      <c r="W21" s="367"/>
      <c r="X21" s="316"/>
      <c r="Y21" s="289"/>
      <c r="Z21" s="326"/>
      <c r="AA21" s="324"/>
      <c r="AB21" s="325"/>
      <c r="AC21" s="326"/>
      <c r="AD21" s="326">
        <f t="shared" si="19"/>
        <v>7</v>
      </c>
      <c r="AE21" s="327"/>
      <c r="AF21" s="313"/>
      <c r="AG21" s="313"/>
      <c r="AH21" s="433">
        <f t="shared" si="16"/>
        <v>0</v>
      </c>
      <c r="AI21" s="364">
        <f t="shared" ref="AI21" si="43">Y21+30+3</f>
        <v>33</v>
      </c>
      <c r="AJ21" s="313"/>
      <c r="AK21" s="331">
        <f t="shared" ref="AK21" si="44">Y21-I21</f>
        <v>0</v>
      </c>
      <c r="AL21" s="364">
        <f t="shared" si="23"/>
        <v>30</v>
      </c>
      <c r="AM21" s="313"/>
      <c r="AN21" s="332" t="s">
        <v>115</v>
      </c>
      <c r="AO21" s="332" t="s">
        <v>115</v>
      </c>
      <c r="AP21" s="328"/>
      <c r="AQ21" s="315"/>
      <c r="AR21" s="315"/>
      <c r="AS21" s="315"/>
      <c r="AT21" s="385"/>
      <c r="AU21" s="333"/>
      <c r="AV21" s="333"/>
      <c r="AW21" s="388"/>
      <c r="AX21" s="352"/>
      <c r="AY21" s="315"/>
      <c r="AZ21" s="315"/>
      <c r="BA21" s="386"/>
      <c r="BB21" s="389"/>
      <c r="BC21" s="384"/>
      <c r="BD21" s="379"/>
    </row>
    <row r="22" spans="1:56" s="334" customFormat="1" ht="24" customHeight="1">
      <c r="A22" s="47"/>
      <c r="B22" s="71"/>
      <c r="C22" s="71"/>
      <c r="D22" s="48"/>
      <c r="E22" s="318"/>
      <c r="F22" s="335"/>
      <c r="G22" s="318"/>
      <c r="H22" s="350"/>
      <c r="I22" s="350"/>
      <c r="J22" s="313" t="s">
        <v>3</v>
      </c>
      <c r="K22" s="323" t="s">
        <v>30</v>
      </c>
      <c r="L22" s="338"/>
      <c r="M22" s="338"/>
      <c r="N22" s="335"/>
      <c r="O22" s="315" t="s">
        <v>114</v>
      </c>
      <c r="P22" s="322"/>
      <c r="Q22" s="323">
        <f t="shared" si="14"/>
        <v>0</v>
      </c>
      <c r="R22" s="323" t="s">
        <v>30</v>
      </c>
      <c r="S22" s="322"/>
      <c r="T22" s="323">
        <f t="shared" si="17"/>
        <v>0</v>
      </c>
      <c r="U22" s="323">
        <f t="shared" si="15"/>
        <v>0</v>
      </c>
      <c r="V22" s="288"/>
      <c r="W22" s="367"/>
      <c r="X22" s="316"/>
      <c r="Y22" s="289"/>
      <c r="Z22" s="289"/>
      <c r="AA22" s="337"/>
      <c r="AB22" s="326"/>
      <c r="AC22" s="326"/>
      <c r="AD22" s="326">
        <f t="shared" si="19"/>
        <v>7</v>
      </c>
      <c r="AE22" s="324"/>
      <c r="AF22" s="47"/>
      <c r="AG22" s="313"/>
      <c r="AH22" s="433">
        <f t="shared" si="16"/>
        <v>0</v>
      </c>
      <c r="AI22" s="330"/>
      <c r="AJ22" s="313"/>
      <c r="AK22" s="331"/>
      <c r="AL22" s="364"/>
      <c r="AM22" s="387"/>
      <c r="AN22" s="332"/>
      <c r="AO22" s="60"/>
      <c r="AP22" s="369"/>
      <c r="AQ22" s="315"/>
      <c r="AR22" s="315"/>
      <c r="AS22" s="315"/>
      <c r="AT22" s="385"/>
      <c r="AU22" s="333"/>
      <c r="AV22" s="333"/>
      <c r="AW22" s="333"/>
      <c r="AX22" s="315"/>
      <c r="AY22" s="315"/>
      <c r="AZ22" s="315"/>
      <c r="BA22" s="315"/>
      <c r="BB22" s="315"/>
      <c r="BC22" s="384"/>
      <c r="BD22" s="379"/>
    </row>
    <row r="23" spans="1:56" s="334" customFormat="1" ht="24" customHeight="1">
      <c r="A23" s="47"/>
      <c r="B23" s="71"/>
      <c r="C23" s="71"/>
      <c r="D23" s="48"/>
      <c r="E23" s="318"/>
      <c r="F23" s="339"/>
      <c r="G23" s="318"/>
      <c r="H23" s="350"/>
      <c r="I23" s="350"/>
      <c r="J23" s="313" t="s">
        <v>3</v>
      </c>
      <c r="K23" s="323" t="s">
        <v>30</v>
      </c>
      <c r="L23" s="338"/>
      <c r="M23" s="338"/>
      <c r="N23" s="335"/>
      <c r="O23" s="315" t="s">
        <v>114</v>
      </c>
      <c r="P23" s="322"/>
      <c r="Q23" s="323">
        <f t="shared" ref="Q23" si="45">M23*P23</f>
        <v>0</v>
      </c>
      <c r="R23" s="323" t="s">
        <v>30</v>
      </c>
      <c r="S23" s="322"/>
      <c r="T23" s="323">
        <f t="shared" si="17"/>
        <v>0</v>
      </c>
      <c r="U23" s="323">
        <f t="shared" si="15"/>
        <v>0</v>
      </c>
      <c r="V23" s="288"/>
      <c r="W23" s="367"/>
      <c r="X23" s="316"/>
      <c r="Y23" s="289"/>
      <c r="Z23" s="289"/>
      <c r="AA23" s="337"/>
      <c r="AB23" s="326"/>
      <c r="AC23" s="326"/>
      <c r="AD23" s="326">
        <f t="shared" si="19"/>
        <v>7</v>
      </c>
      <c r="AE23" s="324"/>
      <c r="AF23" s="47"/>
      <c r="AG23" s="313"/>
      <c r="AH23" s="433">
        <f t="shared" si="16"/>
        <v>0</v>
      </c>
      <c r="AI23" s="330"/>
      <c r="AJ23" s="313"/>
      <c r="AK23" s="331"/>
      <c r="AL23" s="364"/>
      <c r="AM23" s="387"/>
      <c r="AN23" s="332"/>
      <c r="AO23" s="60"/>
      <c r="AP23" s="369"/>
      <c r="AQ23" s="315"/>
      <c r="AR23" s="315"/>
      <c r="AS23" s="315"/>
      <c r="AT23" s="385"/>
      <c r="AU23" s="333"/>
      <c r="AV23" s="333"/>
      <c r="AW23" s="333"/>
      <c r="AX23" s="315"/>
      <c r="AY23" s="315"/>
      <c r="AZ23" s="315"/>
      <c r="BA23" s="315"/>
      <c r="BB23" s="315"/>
      <c r="BC23" s="384"/>
      <c r="BD23" s="379"/>
    </row>
    <row r="24" spans="1:56" s="334" customFormat="1" ht="24" customHeight="1">
      <c r="A24" s="313"/>
      <c r="B24" s="317"/>
      <c r="C24" s="288"/>
      <c r="D24" s="315"/>
      <c r="E24" s="318"/>
      <c r="F24" s="318"/>
      <c r="G24" s="318"/>
      <c r="H24" s="350"/>
      <c r="I24" s="350"/>
      <c r="J24" s="313" t="s">
        <v>3</v>
      </c>
      <c r="K24" s="323" t="s">
        <v>30</v>
      </c>
      <c r="L24" s="288"/>
      <c r="M24" s="288"/>
      <c r="N24" s="335"/>
      <c r="O24" s="315" t="s">
        <v>114</v>
      </c>
      <c r="P24" s="322"/>
      <c r="Q24" s="323">
        <f t="shared" ref="Q24:Q25" si="46">M24*P24</f>
        <v>0</v>
      </c>
      <c r="R24" s="323" t="s">
        <v>30</v>
      </c>
      <c r="S24" s="322"/>
      <c r="T24" s="323">
        <f t="shared" si="17"/>
        <v>0</v>
      </c>
      <c r="U24" s="323">
        <f t="shared" si="15"/>
        <v>0</v>
      </c>
      <c r="V24" s="288"/>
      <c r="W24" s="367"/>
      <c r="X24" s="316"/>
      <c r="Y24" s="289"/>
      <c r="Z24" s="289"/>
      <c r="AA24" s="337"/>
      <c r="AB24" s="326"/>
      <c r="AC24" s="326"/>
      <c r="AD24" s="326">
        <f t="shared" si="19"/>
        <v>7</v>
      </c>
      <c r="AE24" s="324"/>
      <c r="AF24" s="47"/>
      <c r="AG24" s="313"/>
      <c r="AH24" s="433">
        <f t="shared" si="16"/>
        <v>0</v>
      </c>
      <c r="AI24" s="330"/>
      <c r="AJ24" s="313"/>
      <c r="AK24" s="331"/>
      <c r="AL24" s="364"/>
      <c r="AM24" s="313"/>
      <c r="AN24" s="332"/>
      <c r="AO24" s="332"/>
      <c r="AP24" s="369"/>
      <c r="AQ24" s="315"/>
      <c r="AR24" s="315"/>
      <c r="AS24" s="315"/>
      <c r="AT24" s="385"/>
      <c r="AU24" s="333"/>
      <c r="AV24" s="333"/>
      <c r="AW24" s="333"/>
      <c r="AX24" s="315"/>
      <c r="AY24" s="315"/>
      <c r="AZ24" s="315"/>
      <c r="BA24" s="315"/>
      <c r="BB24" s="315"/>
      <c r="BC24" s="378"/>
      <c r="BD24" s="379"/>
    </row>
    <row r="25" spans="1:56" s="334" customFormat="1" ht="24" customHeight="1">
      <c r="A25" s="313"/>
      <c r="B25" s="317"/>
      <c r="C25" s="288"/>
      <c r="D25" s="315"/>
      <c r="E25" s="318"/>
      <c r="F25" s="318"/>
      <c r="G25" s="318"/>
      <c r="H25" s="350"/>
      <c r="I25" s="350"/>
      <c r="J25" s="313" t="s">
        <v>3</v>
      </c>
      <c r="K25" s="323" t="s">
        <v>30</v>
      </c>
      <c r="L25" s="338"/>
      <c r="M25" s="338"/>
      <c r="N25" s="335"/>
      <c r="O25" s="315" t="s">
        <v>114</v>
      </c>
      <c r="P25" s="322"/>
      <c r="Q25" s="323">
        <f t="shared" si="46"/>
        <v>0</v>
      </c>
      <c r="R25" s="323" t="s">
        <v>30</v>
      </c>
      <c r="S25" s="322"/>
      <c r="T25" s="323">
        <f t="shared" si="17"/>
        <v>0</v>
      </c>
      <c r="U25" s="323">
        <f t="shared" si="15"/>
        <v>0</v>
      </c>
      <c r="V25" s="288"/>
      <c r="W25" s="367"/>
      <c r="X25" s="316"/>
      <c r="Y25" s="289"/>
      <c r="Z25" s="289"/>
      <c r="AA25" s="337"/>
      <c r="AB25" s="326"/>
      <c r="AC25" s="326"/>
      <c r="AD25" s="326">
        <f t="shared" si="19"/>
        <v>7</v>
      </c>
      <c r="AE25" s="324"/>
      <c r="AF25" s="47"/>
      <c r="AG25" s="313"/>
      <c r="AH25" s="433">
        <f t="shared" si="16"/>
        <v>0</v>
      </c>
      <c r="AI25" s="330"/>
      <c r="AJ25" s="313"/>
      <c r="AK25" s="331"/>
      <c r="AL25" s="364"/>
      <c r="AM25" s="313"/>
      <c r="AN25" s="332"/>
      <c r="AO25" s="332"/>
      <c r="AP25" s="369"/>
      <c r="AQ25" s="315"/>
      <c r="AR25" s="315"/>
      <c r="AS25" s="315"/>
      <c r="AT25" s="385"/>
      <c r="AU25" s="333"/>
      <c r="AV25" s="333"/>
      <c r="AW25" s="333"/>
      <c r="AX25" s="315"/>
      <c r="AY25" s="315"/>
      <c r="AZ25" s="315"/>
      <c r="BA25" s="315"/>
      <c r="BB25" s="315"/>
      <c r="BC25" s="378"/>
      <c r="BD25" s="379"/>
    </row>
    <row r="26" spans="1:56" s="334" customFormat="1" ht="24" customHeight="1">
      <c r="A26" s="313"/>
      <c r="B26" s="317"/>
      <c r="C26" s="288"/>
      <c r="D26" s="315"/>
      <c r="E26" s="336"/>
      <c r="F26" s="318"/>
      <c r="G26" s="318"/>
      <c r="H26" s="350"/>
      <c r="I26" s="350"/>
      <c r="J26" s="313" t="s">
        <v>3</v>
      </c>
      <c r="K26" s="323" t="s">
        <v>30</v>
      </c>
      <c r="L26" s="320"/>
      <c r="M26" s="320"/>
      <c r="N26" s="335"/>
      <c r="O26" s="315" t="s">
        <v>114</v>
      </c>
      <c r="P26" s="322"/>
      <c r="Q26" s="323">
        <f t="shared" ref="Q26:Q27" si="47">M26*P26</f>
        <v>0</v>
      </c>
      <c r="R26" s="323" t="s">
        <v>30</v>
      </c>
      <c r="S26" s="322"/>
      <c r="T26" s="323">
        <f t="shared" ref="T26:T27" si="48">M26*S26</f>
        <v>0</v>
      </c>
      <c r="U26" s="323">
        <f t="shared" ref="U26:U27" si="49">P26-S26</f>
        <v>0</v>
      </c>
      <c r="V26" s="288"/>
      <c r="W26" s="367"/>
      <c r="X26" s="316"/>
      <c r="Y26" s="289"/>
      <c r="Z26" s="289"/>
      <c r="AA26" s="337"/>
      <c r="AB26" s="326"/>
      <c r="AC26" s="326"/>
      <c r="AD26" s="326">
        <f t="shared" si="19"/>
        <v>7</v>
      </c>
      <c r="AE26" s="324"/>
      <c r="AF26" s="47"/>
      <c r="AG26" s="313"/>
      <c r="AH26" s="433">
        <f t="shared" si="16"/>
        <v>0</v>
      </c>
      <c r="AI26" s="330"/>
      <c r="AJ26" s="313"/>
      <c r="AK26" s="331"/>
      <c r="AL26" s="364"/>
      <c r="AM26" s="313"/>
      <c r="AN26" s="332"/>
      <c r="AO26" s="332"/>
      <c r="AP26" s="369"/>
      <c r="AQ26" s="315"/>
      <c r="AR26" s="315"/>
      <c r="AS26" s="315"/>
      <c r="AT26" s="385"/>
      <c r="AU26" s="333"/>
      <c r="AV26" s="333"/>
      <c r="AW26" s="333"/>
      <c r="AX26" s="315"/>
      <c r="AY26" s="315"/>
      <c r="AZ26" s="315"/>
      <c r="BA26" s="315"/>
      <c r="BB26" s="315"/>
      <c r="BC26" s="378"/>
      <c r="BD26" s="379"/>
    </row>
    <row r="27" spans="1:56" s="334" customFormat="1" ht="24" customHeight="1">
      <c r="A27" s="313"/>
      <c r="B27" s="317"/>
      <c r="C27" s="288"/>
      <c r="D27" s="315"/>
      <c r="E27" s="318"/>
      <c r="F27" s="318"/>
      <c r="G27" s="318"/>
      <c r="H27" s="350"/>
      <c r="I27" s="350"/>
      <c r="J27" s="313" t="s">
        <v>3</v>
      </c>
      <c r="K27" s="323" t="s">
        <v>30</v>
      </c>
      <c r="L27" s="338"/>
      <c r="M27" s="338"/>
      <c r="N27" s="335"/>
      <c r="O27" s="315" t="s">
        <v>114</v>
      </c>
      <c r="P27" s="322"/>
      <c r="Q27" s="323">
        <f t="shared" si="47"/>
        <v>0</v>
      </c>
      <c r="R27" s="323" t="s">
        <v>30</v>
      </c>
      <c r="S27" s="322"/>
      <c r="T27" s="323">
        <f t="shared" si="48"/>
        <v>0</v>
      </c>
      <c r="U27" s="323">
        <f t="shared" si="49"/>
        <v>0</v>
      </c>
      <c r="V27" s="288"/>
      <c r="W27" s="367"/>
      <c r="X27" s="316"/>
      <c r="Y27" s="289"/>
      <c r="Z27" s="289"/>
      <c r="AA27" s="337"/>
      <c r="AB27" s="326"/>
      <c r="AC27" s="326"/>
      <c r="AD27" s="326">
        <f t="shared" si="19"/>
        <v>7</v>
      </c>
      <c r="AE27" s="324"/>
      <c r="AF27" s="47"/>
      <c r="AG27" s="313"/>
      <c r="AH27" s="433">
        <f t="shared" si="16"/>
        <v>0</v>
      </c>
      <c r="AI27" s="330"/>
      <c r="AJ27" s="313"/>
      <c r="AK27" s="331"/>
      <c r="AL27" s="364"/>
      <c r="AM27" s="313"/>
      <c r="AN27" s="332"/>
      <c r="AO27" s="332"/>
      <c r="AP27" s="369"/>
      <c r="AQ27" s="315"/>
      <c r="AR27" s="315"/>
      <c r="AS27" s="315"/>
      <c r="AT27" s="385"/>
      <c r="AU27" s="333"/>
      <c r="AV27" s="333"/>
      <c r="AW27" s="333"/>
      <c r="AX27" s="315"/>
      <c r="AY27" s="315"/>
      <c r="AZ27" s="315"/>
      <c r="BA27" s="315"/>
      <c r="BB27" s="315"/>
      <c r="BC27" s="378"/>
      <c r="BD27" s="379"/>
    </row>
    <row r="28" spans="1:56" s="334" customFormat="1" ht="24" customHeight="1">
      <c r="A28" s="313"/>
      <c r="B28" s="317"/>
      <c r="C28" s="288"/>
      <c r="D28" s="315"/>
      <c r="E28" s="336"/>
      <c r="F28" s="336"/>
      <c r="G28" s="336"/>
      <c r="H28" s="350"/>
      <c r="I28" s="350"/>
      <c r="J28" s="47"/>
      <c r="K28" s="47"/>
      <c r="L28" s="320"/>
      <c r="M28" s="320"/>
      <c r="N28" s="335"/>
      <c r="O28" s="315"/>
      <c r="P28" s="322"/>
      <c r="Q28" s="323"/>
      <c r="R28" s="323"/>
      <c r="S28" s="322"/>
      <c r="T28" s="323"/>
      <c r="U28" s="323"/>
      <c r="V28" s="288"/>
      <c r="W28" s="367"/>
      <c r="X28" s="316"/>
      <c r="Y28" s="289"/>
      <c r="Z28" s="289"/>
      <c r="AA28" s="324"/>
      <c r="AB28" s="326"/>
      <c r="AC28" s="326"/>
      <c r="AD28" s="326"/>
      <c r="AE28" s="324"/>
      <c r="AF28" s="47"/>
      <c r="AG28" s="313"/>
      <c r="AH28" s="433">
        <f t="shared" si="16"/>
        <v>0</v>
      </c>
      <c r="AI28" s="330"/>
      <c r="AJ28" s="313"/>
      <c r="AK28" s="331"/>
      <c r="AL28" s="364"/>
      <c r="AM28" s="313"/>
      <c r="AN28" s="332"/>
      <c r="AO28" s="332"/>
      <c r="AP28" s="369"/>
      <c r="AQ28" s="315"/>
      <c r="AR28" s="315"/>
      <c r="AS28" s="315"/>
      <c r="AT28" s="385"/>
      <c r="AU28" s="333"/>
      <c r="AV28" s="333"/>
      <c r="AW28" s="333"/>
      <c r="AX28" s="315"/>
      <c r="AY28" s="315"/>
      <c r="AZ28" s="315"/>
      <c r="BA28" s="392"/>
      <c r="BB28" s="315"/>
      <c r="BC28" s="378"/>
      <c r="BD28" s="379"/>
    </row>
    <row r="29" spans="1:56" s="334" customFormat="1" ht="24" customHeight="1">
      <c r="A29" s="313"/>
      <c r="B29" s="317"/>
      <c r="C29" s="288"/>
      <c r="D29" s="315"/>
      <c r="E29" s="336"/>
      <c r="F29" s="336"/>
      <c r="G29" s="336"/>
      <c r="H29" s="350"/>
      <c r="I29" s="350"/>
      <c r="J29" s="47"/>
      <c r="K29" s="47"/>
      <c r="L29" s="288"/>
      <c r="M29" s="288"/>
      <c r="N29" s="335"/>
      <c r="O29" s="315"/>
      <c r="P29" s="322"/>
      <c r="Q29" s="323"/>
      <c r="R29" s="323"/>
      <c r="S29" s="322"/>
      <c r="T29" s="323"/>
      <c r="U29" s="323"/>
      <c r="V29" s="288"/>
      <c r="W29" s="367"/>
      <c r="X29" s="316"/>
      <c r="Y29" s="289"/>
      <c r="Z29" s="289"/>
      <c r="AA29" s="324"/>
      <c r="AB29" s="326"/>
      <c r="AC29" s="326"/>
      <c r="AD29" s="326"/>
      <c r="AE29" s="324"/>
      <c r="AF29" s="47"/>
      <c r="AG29" s="313"/>
      <c r="AH29" s="433">
        <f t="shared" si="16"/>
        <v>0</v>
      </c>
      <c r="AI29" s="330"/>
      <c r="AJ29" s="313"/>
      <c r="AK29" s="331"/>
      <c r="AL29" s="364"/>
      <c r="AM29" s="313"/>
      <c r="AN29" s="332"/>
      <c r="AO29" s="332"/>
      <c r="AP29" s="369"/>
      <c r="AQ29" s="315"/>
      <c r="AR29" s="315"/>
      <c r="AS29" s="315"/>
      <c r="AT29" s="385"/>
      <c r="AU29" s="333"/>
      <c r="AV29" s="333"/>
      <c r="AW29" s="333"/>
      <c r="AX29" s="315"/>
      <c r="AY29" s="315"/>
      <c r="AZ29" s="315"/>
      <c r="BA29" s="392"/>
      <c r="BB29" s="315"/>
      <c r="BC29" s="378"/>
      <c r="BD29" s="379"/>
    </row>
    <row r="30" spans="1:56" s="334" customFormat="1" ht="24" customHeight="1">
      <c r="A30" s="313"/>
      <c r="B30" s="317"/>
      <c r="C30" s="288"/>
      <c r="D30" s="315"/>
      <c r="E30" s="336"/>
      <c r="F30" s="336"/>
      <c r="G30" s="336"/>
      <c r="H30" s="350"/>
      <c r="I30" s="350"/>
      <c r="J30" s="47"/>
      <c r="K30" s="47"/>
      <c r="L30" s="320"/>
      <c r="M30" s="320"/>
      <c r="N30" s="335"/>
      <c r="O30" s="315"/>
      <c r="P30" s="322"/>
      <c r="Q30" s="323"/>
      <c r="R30" s="323"/>
      <c r="S30" s="322"/>
      <c r="T30" s="323"/>
      <c r="U30" s="323"/>
      <c r="V30" s="288"/>
      <c r="W30" s="367"/>
      <c r="X30" s="316"/>
      <c r="Y30" s="289"/>
      <c r="Z30" s="289"/>
      <c r="AA30" s="324"/>
      <c r="AB30" s="326"/>
      <c r="AC30" s="326"/>
      <c r="AD30" s="326"/>
      <c r="AE30" s="324"/>
      <c r="AF30" s="47"/>
      <c r="AG30" s="313"/>
      <c r="AH30" s="433">
        <f t="shared" si="16"/>
        <v>0</v>
      </c>
      <c r="AI30" s="330"/>
      <c r="AJ30" s="313"/>
      <c r="AK30" s="331"/>
      <c r="AL30" s="364"/>
      <c r="AM30" s="313"/>
      <c r="AN30" s="332"/>
      <c r="AO30" s="332"/>
      <c r="AP30" s="369"/>
      <c r="AQ30" s="315"/>
      <c r="AR30" s="315"/>
      <c r="AS30" s="315"/>
      <c r="AT30" s="385"/>
      <c r="AU30" s="333"/>
      <c r="AV30" s="333"/>
      <c r="AW30" s="333"/>
      <c r="AX30" s="315"/>
      <c r="AY30" s="315"/>
      <c r="AZ30" s="315"/>
      <c r="BA30" s="315"/>
      <c r="BB30" s="315"/>
      <c r="BC30" s="378"/>
      <c r="BD30" s="379"/>
    </row>
    <row r="31" spans="1:56" s="334" customFormat="1" ht="24" customHeight="1">
      <c r="A31" s="313"/>
      <c r="B31" s="317"/>
      <c r="C31" s="288"/>
      <c r="D31" s="315"/>
      <c r="E31" s="319"/>
      <c r="F31" s="336"/>
      <c r="G31" s="336"/>
      <c r="H31" s="350"/>
      <c r="I31" s="350"/>
      <c r="J31" s="47"/>
      <c r="K31" s="47"/>
      <c r="L31" s="320"/>
      <c r="M31" s="320"/>
      <c r="N31" s="335"/>
      <c r="O31" s="315"/>
      <c r="P31" s="322"/>
      <c r="Q31" s="323"/>
      <c r="R31" s="323"/>
      <c r="S31" s="322"/>
      <c r="T31" s="323"/>
      <c r="U31" s="323"/>
      <c r="V31" s="288"/>
      <c r="W31" s="367"/>
      <c r="X31" s="316"/>
      <c r="Y31" s="289"/>
      <c r="Z31" s="289"/>
      <c r="AA31" s="337"/>
      <c r="AB31" s="326"/>
      <c r="AC31" s="326"/>
      <c r="AD31" s="326"/>
      <c r="AE31" s="324"/>
      <c r="AF31" s="47"/>
      <c r="AG31" s="313"/>
      <c r="AH31" s="433">
        <f t="shared" si="16"/>
        <v>0</v>
      </c>
      <c r="AI31" s="330"/>
      <c r="AJ31" s="313"/>
      <c r="AK31" s="331"/>
      <c r="AL31" s="364"/>
      <c r="AM31" s="313"/>
      <c r="AN31" s="332"/>
      <c r="AO31" s="332"/>
      <c r="AP31" s="369"/>
      <c r="AQ31" s="315"/>
      <c r="AR31" s="315"/>
      <c r="AS31" s="315"/>
      <c r="AT31" s="385"/>
      <c r="AU31" s="333"/>
      <c r="AV31" s="333"/>
      <c r="AW31" s="333"/>
      <c r="AX31" s="315"/>
      <c r="AY31" s="315"/>
      <c r="AZ31" s="315"/>
      <c r="BA31" s="315"/>
      <c r="BB31" s="315"/>
      <c r="BC31" s="378"/>
      <c r="BD31" s="379"/>
    </row>
    <row r="32" spans="1:56" s="334" customFormat="1" ht="24" customHeight="1">
      <c r="A32" s="313"/>
      <c r="B32" s="314"/>
      <c r="C32" s="314"/>
      <c r="D32" s="315"/>
      <c r="E32" s="314"/>
      <c r="F32" s="314"/>
      <c r="G32" s="314"/>
      <c r="H32" s="350"/>
      <c r="I32" s="350"/>
      <c r="J32" s="313"/>
      <c r="K32" s="313"/>
      <c r="L32" s="347"/>
      <c r="M32" s="347"/>
      <c r="N32" s="332"/>
      <c r="O32" s="315"/>
      <c r="P32" s="322"/>
      <c r="Q32" s="323"/>
      <c r="R32" s="323"/>
      <c r="S32" s="322"/>
      <c r="T32" s="323"/>
      <c r="U32" s="323"/>
      <c r="V32" s="313"/>
      <c r="W32" s="367"/>
      <c r="X32" s="316"/>
      <c r="Y32" s="289"/>
      <c r="Z32" s="326"/>
      <c r="AA32" s="324"/>
      <c r="AB32" s="326"/>
      <c r="AC32" s="326"/>
      <c r="AD32" s="326"/>
      <c r="AE32" s="327"/>
      <c r="AF32" s="313"/>
      <c r="AG32" s="313"/>
      <c r="AH32" s="332"/>
      <c r="AI32" s="330"/>
      <c r="AJ32" s="313"/>
      <c r="AK32" s="331"/>
      <c r="AL32" s="330"/>
      <c r="AM32" s="332"/>
      <c r="AN32" s="332"/>
      <c r="AO32" s="288"/>
      <c r="AP32" s="328"/>
      <c r="AQ32" s="315"/>
      <c r="AR32" s="315"/>
      <c r="AS32" s="315"/>
      <c r="AT32" s="385"/>
      <c r="AU32" s="385"/>
      <c r="AV32" s="333"/>
      <c r="AW32" s="388"/>
      <c r="AX32" s="352"/>
      <c r="AY32" s="315"/>
      <c r="AZ32" s="315"/>
      <c r="BA32" s="352"/>
      <c r="BB32" s="352"/>
      <c r="BC32" s="384"/>
      <c r="BD32" s="379"/>
    </row>
    <row r="33" spans="1:56" s="334" customFormat="1" ht="24" customHeight="1">
      <c r="A33" s="313"/>
      <c r="B33" s="314"/>
      <c r="C33" s="314"/>
      <c r="D33" s="315"/>
      <c r="E33" s="314"/>
      <c r="F33" s="314"/>
      <c r="G33" s="314"/>
      <c r="H33" s="350"/>
      <c r="I33" s="350"/>
      <c r="J33" s="313"/>
      <c r="K33" s="313"/>
      <c r="L33" s="347"/>
      <c r="M33" s="347"/>
      <c r="N33" s="332"/>
      <c r="O33" s="315"/>
      <c r="P33" s="322"/>
      <c r="Q33" s="323"/>
      <c r="R33" s="323"/>
      <c r="S33" s="322"/>
      <c r="T33" s="323"/>
      <c r="U33" s="323"/>
      <c r="V33" s="313"/>
      <c r="W33" s="367"/>
      <c r="X33" s="316"/>
      <c r="Y33" s="289"/>
      <c r="Z33" s="326"/>
      <c r="AA33" s="324"/>
      <c r="AB33" s="325"/>
      <c r="AC33" s="326"/>
      <c r="AD33" s="326"/>
      <c r="AE33" s="327"/>
      <c r="AF33" s="313"/>
      <c r="AG33" s="313"/>
      <c r="AH33" s="332"/>
      <c r="AI33" s="330"/>
      <c r="AJ33" s="313"/>
      <c r="AK33" s="331"/>
      <c r="AL33" s="330"/>
      <c r="AM33" s="313"/>
      <c r="AN33" s="332"/>
      <c r="AO33" s="288"/>
      <c r="AP33" s="328"/>
      <c r="AQ33" s="315"/>
      <c r="AR33" s="315"/>
      <c r="AS33" s="315"/>
      <c r="AT33" s="385"/>
      <c r="AU33" s="333"/>
      <c r="AV33" s="333"/>
      <c r="AW33" s="388"/>
      <c r="AX33" s="352"/>
      <c r="AY33" s="315"/>
      <c r="AZ33" s="315"/>
      <c r="BA33" s="352"/>
      <c r="BB33" s="352"/>
      <c r="BC33" s="384"/>
      <c r="BD33" s="379"/>
    </row>
    <row r="34" spans="1:56" s="334" customFormat="1" ht="24" customHeight="1">
      <c r="A34" s="313"/>
      <c r="B34" s="314"/>
      <c r="C34" s="314"/>
      <c r="D34" s="315"/>
      <c r="E34" s="314"/>
      <c r="F34" s="314"/>
      <c r="G34" s="314"/>
      <c r="H34" s="350"/>
      <c r="I34" s="350"/>
      <c r="J34" s="313"/>
      <c r="K34" s="313"/>
      <c r="L34" s="347"/>
      <c r="M34" s="347"/>
      <c r="N34" s="332"/>
      <c r="O34" s="315"/>
      <c r="P34" s="322"/>
      <c r="Q34" s="323"/>
      <c r="R34" s="323"/>
      <c r="S34" s="322"/>
      <c r="T34" s="323"/>
      <c r="U34" s="323"/>
      <c r="V34" s="313"/>
      <c r="W34" s="367"/>
      <c r="X34" s="316"/>
      <c r="Y34" s="289"/>
      <c r="Z34" s="326"/>
      <c r="AA34" s="324"/>
      <c r="AB34" s="325"/>
      <c r="AC34" s="326"/>
      <c r="AD34" s="326"/>
      <c r="AE34" s="327"/>
      <c r="AF34" s="313"/>
      <c r="AG34" s="313"/>
      <c r="AH34" s="332"/>
      <c r="AI34" s="330"/>
      <c r="AJ34" s="313"/>
      <c r="AK34" s="331"/>
      <c r="AL34" s="330"/>
      <c r="AM34" s="313"/>
      <c r="AN34" s="332"/>
      <c r="AO34" s="288"/>
      <c r="AP34" s="328"/>
      <c r="AQ34" s="315"/>
      <c r="AR34" s="315"/>
      <c r="AS34" s="315"/>
      <c r="AT34" s="385"/>
      <c r="AU34" s="333"/>
      <c r="AV34" s="333"/>
      <c r="AW34" s="388"/>
      <c r="AX34" s="352"/>
      <c r="AY34" s="315"/>
      <c r="AZ34" s="315"/>
      <c r="BA34" s="352"/>
      <c r="BB34" s="352"/>
      <c r="BC34" s="384"/>
      <c r="BD34" s="379"/>
    </row>
    <row r="35" spans="1:56" s="334" customFormat="1" ht="24" customHeight="1">
      <c r="A35" s="313"/>
      <c r="B35" s="314"/>
      <c r="C35" s="314"/>
      <c r="D35" s="315"/>
      <c r="E35" s="314"/>
      <c r="F35" s="314"/>
      <c r="G35" s="314"/>
      <c r="H35" s="350"/>
      <c r="I35" s="350"/>
      <c r="J35" s="313"/>
      <c r="K35" s="313"/>
      <c r="L35" s="347"/>
      <c r="M35" s="347"/>
      <c r="N35" s="332"/>
      <c r="O35" s="315"/>
      <c r="P35" s="322"/>
      <c r="Q35" s="323"/>
      <c r="R35" s="323"/>
      <c r="S35" s="322"/>
      <c r="T35" s="323"/>
      <c r="U35" s="323"/>
      <c r="V35" s="313"/>
      <c r="W35" s="367"/>
      <c r="X35" s="316"/>
      <c r="Y35" s="289"/>
      <c r="Z35" s="326"/>
      <c r="AA35" s="324"/>
      <c r="AB35" s="325"/>
      <c r="AC35" s="326"/>
      <c r="AD35" s="326"/>
      <c r="AE35" s="327"/>
      <c r="AF35" s="313"/>
      <c r="AG35" s="313"/>
      <c r="AH35" s="332"/>
      <c r="AI35" s="330"/>
      <c r="AJ35" s="313"/>
      <c r="AK35" s="331"/>
      <c r="AL35" s="330"/>
      <c r="AM35" s="313"/>
      <c r="AN35" s="332"/>
      <c r="AO35" s="288"/>
      <c r="AP35" s="328"/>
      <c r="AQ35" s="315"/>
      <c r="AR35" s="315"/>
      <c r="AS35" s="315"/>
      <c r="AT35" s="385"/>
      <c r="AU35" s="333"/>
      <c r="AV35" s="333"/>
      <c r="AW35" s="388"/>
      <c r="AX35" s="352"/>
      <c r="AY35" s="315"/>
      <c r="AZ35" s="315"/>
      <c r="BA35" s="352"/>
      <c r="BB35" s="352"/>
      <c r="BC35" s="384"/>
      <c r="BD35" s="379"/>
    </row>
    <row r="36" spans="1:56" s="334" customFormat="1" ht="24" customHeight="1">
      <c r="A36" s="47"/>
      <c r="B36" s="71"/>
      <c r="C36" s="71"/>
      <c r="D36" s="48"/>
      <c r="E36" s="124"/>
      <c r="F36" s="124"/>
      <c r="G36" s="136"/>
      <c r="H36" s="350"/>
      <c r="I36" s="350"/>
      <c r="J36" s="47"/>
      <c r="K36" s="47"/>
      <c r="L36" s="60"/>
      <c r="M36" s="60"/>
      <c r="N36" s="390"/>
      <c r="O36" s="48"/>
      <c r="P36" s="72"/>
      <c r="Q36" s="67"/>
      <c r="R36" s="67"/>
      <c r="S36" s="72"/>
      <c r="T36" s="67"/>
      <c r="U36" s="67"/>
      <c r="V36" s="60"/>
      <c r="W36" s="127"/>
      <c r="X36" s="316"/>
      <c r="Y36" s="126"/>
      <c r="Z36" s="126"/>
      <c r="AA36" s="63"/>
      <c r="AB36" s="326"/>
      <c r="AC36" s="326"/>
      <c r="AD36" s="81"/>
      <c r="AE36" s="128"/>
      <c r="AF36" s="47"/>
      <c r="AG36" s="47"/>
      <c r="AH36" s="391"/>
      <c r="AI36" s="68"/>
      <c r="AJ36" s="47"/>
      <c r="AK36" s="69"/>
      <c r="AL36" s="68"/>
      <c r="AM36" s="47"/>
      <c r="AN36" s="66"/>
      <c r="AO36" s="60"/>
      <c r="AP36" s="369"/>
      <c r="AQ36" s="315"/>
      <c r="AR36" s="315"/>
      <c r="AS36" s="315"/>
      <c r="AT36" s="385"/>
      <c r="AU36" s="333"/>
      <c r="AV36" s="333"/>
      <c r="AW36" s="333"/>
      <c r="AX36" s="386"/>
      <c r="AY36" s="315"/>
      <c r="AZ36" s="315"/>
      <c r="BA36" s="315"/>
      <c r="BB36" s="315"/>
      <c r="BC36" s="384"/>
      <c r="BD36" s="379"/>
    </row>
    <row r="37" spans="1:56" s="334" customFormat="1" ht="24" customHeight="1">
      <c r="A37" s="47"/>
      <c r="B37" s="71"/>
      <c r="C37" s="71"/>
      <c r="D37" s="48"/>
      <c r="E37" s="124"/>
      <c r="F37" s="124"/>
      <c r="G37" s="136"/>
      <c r="H37" s="350"/>
      <c r="I37" s="350"/>
      <c r="J37" s="47"/>
      <c r="K37" s="47"/>
      <c r="L37" s="60"/>
      <c r="M37" s="60"/>
      <c r="N37" s="390"/>
      <c r="O37" s="48"/>
      <c r="P37" s="72"/>
      <c r="Q37" s="67"/>
      <c r="R37" s="67"/>
      <c r="S37" s="72"/>
      <c r="T37" s="67"/>
      <c r="U37" s="67"/>
      <c r="V37" s="60"/>
      <c r="W37" s="127"/>
      <c r="X37" s="316"/>
      <c r="Y37" s="126"/>
      <c r="Z37" s="126"/>
      <c r="AA37" s="63"/>
      <c r="AB37" s="326"/>
      <c r="AC37" s="326"/>
      <c r="AD37" s="81"/>
      <c r="AE37" s="128"/>
      <c r="AF37" s="47"/>
      <c r="AG37" s="47"/>
      <c r="AH37" s="391"/>
      <c r="AI37" s="68"/>
      <c r="AJ37" s="47"/>
      <c r="AK37" s="69"/>
      <c r="AL37" s="68"/>
      <c r="AM37" s="47"/>
      <c r="AN37" s="66"/>
      <c r="AO37" s="60"/>
      <c r="AP37" s="369"/>
      <c r="AQ37" s="315"/>
      <c r="AR37" s="315"/>
      <c r="AS37" s="315"/>
      <c r="AT37" s="385"/>
      <c r="AU37" s="333"/>
      <c r="AV37" s="333"/>
      <c r="AW37" s="333"/>
      <c r="AX37" s="386"/>
      <c r="AY37" s="315"/>
      <c r="AZ37" s="315"/>
      <c r="BA37" s="315"/>
      <c r="BB37" s="315"/>
      <c r="BC37" s="384"/>
      <c r="BD37" s="379"/>
    </row>
    <row r="38" spans="1:56" s="334" customFormat="1" ht="24" customHeight="1">
      <c r="A38" s="47"/>
      <c r="B38" s="71"/>
      <c r="C38" s="71"/>
      <c r="D38" s="48"/>
      <c r="E38" s="124"/>
      <c r="F38" s="124"/>
      <c r="G38" s="136"/>
      <c r="H38" s="350"/>
      <c r="I38" s="350"/>
      <c r="J38" s="47"/>
      <c r="K38" s="47"/>
      <c r="L38" s="60"/>
      <c r="M38" s="60"/>
      <c r="N38" s="390"/>
      <c r="O38" s="48"/>
      <c r="P38" s="72"/>
      <c r="Q38" s="67"/>
      <c r="R38" s="67"/>
      <c r="S38" s="72"/>
      <c r="T38" s="67"/>
      <c r="U38" s="67"/>
      <c r="V38" s="60"/>
      <c r="W38" s="127"/>
      <c r="X38" s="316"/>
      <c r="Y38" s="126"/>
      <c r="Z38" s="126"/>
      <c r="AA38" s="63"/>
      <c r="AB38" s="326"/>
      <c r="AC38" s="326"/>
      <c r="AD38" s="81"/>
      <c r="AE38" s="128"/>
      <c r="AF38" s="47"/>
      <c r="AG38" s="47"/>
      <c r="AH38" s="391"/>
      <c r="AI38" s="68"/>
      <c r="AJ38" s="47"/>
      <c r="AK38" s="69"/>
      <c r="AL38" s="68"/>
      <c r="AM38" s="47"/>
      <c r="AN38" s="66"/>
      <c r="AO38" s="60"/>
      <c r="AP38" s="369"/>
      <c r="AQ38" s="315"/>
      <c r="AR38" s="315"/>
      <c r="AS38" s="315"/>
      <c r="AT38" s="385"/>
      <c r="AU38" s="333"/>
      <c r="AV38" s="333"/>
      <c r="AW38" s="333"/>
      <c r="AX38" s="386"/>
      <c r="AY38" s="315"/>
      <c r="AZ38" s="315"/>
      <c r="BA38" s="315"/>
      <c r="BB38" s="315"/>
      <c r="BC38" s="384"/>
      <c r="BD38" s="379"/>
    </row>
    <row r="39" spans="1:56" s="334" customFormat="1" ht="24" customHeight="1">
      <c r="A39" s="313"/>
      <c r="B39" s="314"/>
      <c r="C39" s="314"/>
      <c r="D39" s="315"/>
      <c r="E39" s="314"/>
      <c r="F39" s="314"/>
      <c r="G39" s="314"/>
      <c r="H39" s="350"/>
      <c r="I39" s="350"/>
      <c r="J39" s="313"/>
      <c r="K39" s="313"/>
      <c r="L39" s="347"/>
      <c r="M39" s="347"/>
      <c r="N39" s="332"/>
      <c r="O39" s="315"/>
      <c r="P39" s="322"/>
      <c r="Q39" s="323"/>
      <c r="R39" s="67"/>
      <c r="S39" s="322"/>
      <c r="T39" s="323"/>
      <c r="U39" s="323"/>
      <c r="V39" s="313"/>
      <c r="W39" s="367"/>
      <c r="X39" s="316"/>
      <c r="Y39" s="289"/>
      <c r="Z39" s="326"/>
      <c r="AA39" s="324"/>
      <c r="AB39" s="289"/>
      <c r="AC39" s="326"/>
      <c r="AD39" s="326"/>
      <c r="AE39" s="327"/>
      <c r="AF39" s="313"/>
      <c r="AG39" s="313"/>
      <c r="AH39" s="332"/>
      <c r="AI39" s="330"/>
      <c r="AJ39" s="313"/>
      <c r="AK39" s="331"/>
      <c r="AL39" s="330"/>
      <c r="AM39" s="313"/>
      <c r="AN39" s="332"/>
      <c r="AO39" s="288"/>
      <c r="AP39" s="328"/>
      <c r="AQ39" s="315"/>
      <c r="AR39" s="315"/>
      <c r="AS39" s="315"/>
      <c r="AT39" s="385"/>
      <c r="AU39" s="333"/>
      <c r="AV39" s="388"/>
      <c r="AW39" s="388"/>
      <c r="AX39" s="380"/>
      <c r="AY39" s="315"/>
      <c r="AZ39" s="315"/>
      <c r="BA39" s="386"/>
      <c r="BB39" s="386"/>
      <c r="BC39" s="384"/>
      <c r="BD39" s="379"/>
    </row>
    <row r="40" spans="1:56" s="334" customFormat="1" ht="24" customHeight="1">
      <c r="A40" s="313"/>
      <c r="B40" s="314"/>
      <c r="C40" s="314"/>
      <c r="D40" s="315"/>
      <c r="E40" s="314"/>
      <c r="F40" s="314"/>
      <c r="G40" s="314"/>
      <c r="H40" s="350"/>
      <c r="I40" s="350"/>
      <c r="J40" s="313"/>
      <c r="K40" s="313"/>
      <c r="L40" s="347"/>
      <c r="M40" s="347"/>
      <c r="N40" s="332"/>
      <c r="O40" s="315"/>
      <c r="P40" s="322"/>
      <c r="Q40" s="323"/>
      <c r="R40" s="67"/>
      <c r="S40" s="322"/>
      <c r="T40" s="323"/>
      <c r="U40" s="323"/>
      <c r="V40" s="313"/>
      <c r="W40" s="367"/>
      <c r="X40" s="316"/>
      <c r="Y40" s="289"/>
      <c r="Z40" s="326"/>
      <c r="AA40" s="324"/>
      <c r="AB40" s="289"/>
      <c r="AC40" s="326"/>
      <c r="AD40" s="326"/>
      <c r="AE40" s="327"/>
      <c r="AF40" s="313"/>
      <c r="AG40" s="313"/>
      <c r="AH40" s="332"/>
      <c r="AI40" s="330"/>
      <c r="AJ40" s="313"/>
      <c r="AK40" s="331"/>
      <c r="AL40" s="330"/>
      <c r="AM40" s="313"/>
      <c r="AN40" s="332"/>
      <c r="AO40" s="288"/>
      <c r="AP40" s="328"/>
      <c r="AQ40" s="315"/>
      <c r="AR40" s="315"/>
      <c r="AS40" s="315"/>
      <c r="AT40" s="385"/>
      <c r="AU40" s="333"/>
      <c r="AV40" s="388"/>
      <c r="AW40" s="388"/>
      <c r="AX40" s="380"/>
      <c r="AY40" s="315"/>
      <c r="AZ40" s="315"/>
      <c r="BA40" s="386"/>
      <c r="BB40" s="386"/>
      <c r="BC40" s="384"/>
      <c r="BD40" s="379"/>
    </row>
    <row r="41" spans="1:56" s="334" customFormat="1" ht="24" customHeight="1">
      <c r="A41" s="313"/>
      <c r="B41" s="314"/>
      <c r="C41" s="314"/>
      <c r="D41" s="315"/>
      <c r="E41" s="314"/>
      <c r="F41" s="314"/>
      <c r="G41" s="314"/>
      <c r="H41" s="350"/>
      <c r="I41" s="350"/>
      <c r="J41" s="313"/>
      <c r="K41" s="313"/>
      <c r="L41" s="347"/>
      <c r="M41" s="347"/>
      <c r="N41" s="332"/>
      <c r="O41" s="315"/>
      <c r="P41" s="322"/>
      <c r="Q41" s="323"/>
      <c r="R41" s="67"/>
      <c r="S41" s="322"/>
      <c r="T41" s="323"/>
      <c r="U41" s="323"/>
      <c r="V41" s="313"/>
      <c r="W41" s="367"/>
      <c r="X41" s="316"/>
      <c r="Y41" s="289"/>
      <c r="Z41" s="326"/>
      <c r="AA41" s="324"/>
      <c r="AB41" s="289"/>
      <c r="AC41" s="326"/>
      <c r="AD41" s="326"/>
      <c r="AE41" s="327"/>
      <c r="AF41" s="313"/>
      <c r="AG41" s="313"/>
      <c r="AH41" s="332"/>
      <c r="AI41" s="330"/>
      <c r="AJ41" s="313"/>
      <c r="AK41" s="331"/>
      <c r="AL41" s="330"/>
      <c r="AM41" s="313"/>
      <c r="AN41" s="332"/>
      <c r="AO41" s="288"/>
      <c r="AP41" s="328"/>
      <c r="AQ41" s="315"/>
      <c r="AR41" s="315"/>
      <c r="AS41" s="315"/>
      <c r="AT41" s="385"/>
      <c r="AU41" s="333"/>
      <c r="AV41" s="388"/>
      <c r="AW41" s="388"/>
      <c r="AX41" s="380"/>
      <c r="AY41" s="315"/>
      <c r="AZ41" s="315"/>
      <c r="BA41" s="386"/>
      <c r="BB41" s="386"/>
      <c r="BC41" s="384"/>
      <c r="BD41" s="379"/>
    </row>
    <row r="42" spans="1:56" s="334" customFormat="1" ht="24" customHeight="1">
      <c r="A42" s="313"/>
      <c r="B42" s="314"/>
      <c r="C42" s="314"/>
      <c r="D42" s="315"/>
      <c r="E42" s="314"/>
      <c r="F42" s="314"/>
      <c r="G42" s="314"/>
      <c r="H42" s="350"/>
      <c r="I42" s="350"/>
      <c r="J42" s="313"/>
      <c r="K42" s="313"/>
      <c r="L42" s="347"/>
      <c r="M42" s="347"/>
      <c r="N42" s="332"/>
      <c r="O42" s="315"/>
      <c r="P42" s="322"/>
      <c r="Q42" s="323"/>
      <c r="R42" s="67"/>
      <c r="S42" s="322"/>
      <c r="T42" s="323"/>
      <c r="U42" s="323"/>
      <c r="V42" s="313"/>
      <c r="W42" s="367"/>
      <c r="X42" s="316"/>
      <c r="Y42" s="289"/>
      <c r="Z42" s="326"/>
      <c r="AA42" s="324"/>
      <c r="AB42" s="289"/>
      <c r="AC42" s="326"/>
      <c r="AD42" s="326"/>
      <c r="AE42" s="327"/>
      <c r="AF42" s="313"/>
      <c r="AG42" s="313"/>
      <c r="AH42" s="332"/>
      <c r="AI42" s="330"/>
      <c r="AJ42" s="313"/>
      <c r="AK42" s="331"/>
      <c r="AL42" s="330"/>
      <c r="AM42" s="313"/>
      <c r="AN42" s="332"/>
      <c r="AO42" s="288"/>
      <c r="AP42" s="328"/>
      <c r="AQ42" s="315"/>
      <c r="AR42" s="315"/>
      <c r="AS42" s="315"/>
      <c r="AT42" s="385"/>
      <c r="AU42" s="333"/>
      <c r="AV42" s="388"/>
      <c r="AW42" s="388"/>
      <c r="AX42" s="380"/>
      <c r="AY42" s="315"/>
      <c r="AZ42" s="315"/>
      <c r="BA42" s="386"/>
      <c r="BB42" s="386"/>
      <c r="BC42" s="384"/>
      <c r="BD42" s="379"/>
    </row>
    <row r="43" spans="1:56" s="334" customFormat="1" ht="24" customHeight="1">
      <c r="A43" s="313"/>
      <c r="B43" s="317"/>
      <c r="C43" s="288"/>
      <c r="D43" s="315"/>
      <c r="E43" s="314"/>
      <c r="F43" s="346"/>
      <c r="G43" s="314"/>
      <c r="H43" s="350"/>
      <c r="I43" s="350"/>
      <c r="J43" s="313"/>
      <c r="K43" s="313"/>
      <c r="L43" s="347"/>
      <c r="M43" s="347"/>
      <c r="N43" s="332"/>
      <c r="O43" s="315"/>
      <c r="P43" s="322"/>
      <c r="Q43" s="323"/>
      <c r="R43" s="323"/>
      <c r="S43" s="322"/>
      <c r="T43" s="323"/>
      <c r="U43" s="323"/>
      <c r="V43" s="313"/>
      <c r="W43" s="289"/>
      <c r="X43" s="316"/>
      <c r="Y43" s="289"/>
      <c r="Z43" s="326"/>
      <c r="AA43" s="393"/>
      <c r="AB43" s="326"/>
      <c r="AC43" s="326"/>
      <c r="AD43" s="326"/>
      <c r="AE43" s="324"/>
      <c r="AF43" s="313"/>
      <c r="AG43" s="197"/>
      <c r="AH43" s="332"/>
      <c r="AI43" s="330"/>
      <c r="AJ43" s="313"/>
      <c r="AK43" s="331"/>
      <c r="AL43" s="364"/>
      <c r="AM43" s="313"/>
      <c r="AN43" s="332"/>
      <c r="AO43" s="332"/>
      <c r="AP43" s="369"/>
      <c r="AQ43" s="315"/>
      <c r="AR43" s="315"/>
      <c r="AS43" s="315"/>
      <c r="AT43" s="385"/>
      <c r="AU43" s="333"/>
      <c r="AV43" s="333"/>
      <c r="AW43" s="333"/>
      <c r="AX43" s="315"/>
      <c r="AY43" s="315"/>
      <c r="AZ43" s="315"/>
      <c r="BA43" s="315"/>
      <c r="BB43" s="315"/>
    </row>
    <row r="44" spans="1:56" s="334" customFormat="1" ht="24" customHeight="1">
      <c r="A44" s="313"/>
      <c r="B44" s="317"/>
      <c r="C44" s="288"/>
      <c r="D44" s="315"/>
      <c r="E44" s="318"/>
      <c r="F44" s="318"/>
      <c r="G44" s="340"/>
      <c r="H44" s="350"/>
      <c r="I44" s="350"/>
      <c r="J44" s="313"/>
      <c r="K44" s="313"/>
      <c r="L44" s="288"/>
      <c r="M44" s="288"/>
      <c r="N44" s="335"/>
      <c r="O44" s="315"/>
      <c r="P44" s="322"/>
      <c r="Q44" s="323"/>
      <c r="R44" s="323"/>
      <c r="S44" s="322"/>
      <c r="T44" s="323"/>
      <c r="U44" s="323"/>
      <c r="V44" s="313"/>
      <c r="W44" s="289"/>
      <c r="X44" s="316"/>
      <c r="Y44" s="289"/>
      <c r="Z44" s="326"/>
      <c r="AA44" s="393"/>
      <c r="AB44" s="326"/>
      <c r="AC44" s="326"/>
      <c r="AD44" s="326"/>
      <c r="AE44" s="324"/>
      <c r="AF44" s="313"/>
      <c r="AG44" s="197"/>
      <c r="AH44" s="329"/>
      <c r="AI44" s="330"/>
      <c r="AJ44" s="313"/>
      <c r="AK44" s="331"/>
      <c r="AL44" s="364"/>
      <c r="AM44" s="313"/>
      <c r="AN44" s="332"/>
      <c r="AO44" s="332"/>
      <c r="AP44" s="369"/>
      <c r="AQ44" s="315"/>
      <c r="AR44" s="315"/>
      <c r="AS44" s="315"/>
      <c r="AT44" s="385"/>
      <c r="AU44" s="333"/>
      <c r="AV44" s="333"/>
      <c r="AW44" s="333"/>
      <c r="AX44" s="315"/>
      <c r="AY44" s="315"/>
      <c r="AZ44" s="315"/>
      <c r="BA44" s="315"/>
      <c r="BB44" s="315"/>
    </row>
    <row r="45" spans="1:56" s="334" customFormat="1" ht="24" customHeight="1">
      <c r="A45" s="313"/>
      <c r="B45" s="317"/>
      <c r="C45" s="288"/>
      <c r="D45" s="315"/>
      <c r="E45" s="318"/>
      <c r="F45" s="318"/>
      <c r="G45" s="340"/>
      <c r="H45" s="350"/>
      <c r="I45" s="350"/>
      <c r="J45" s="313"/>
      <c r="K45" s="313"/>
      <c r="L45" s="288"/>
      <c r="M45" s="288"/>
      <c r="N45" s="335"/>
      <c r="O45" s="315"/>
      <c r="P45" s="322"/>
      <c r="Q45" s="323"/>
      <c r="R45" s="323"/>
      <c r="S45" s="322"/>
      <c r="T45" s="323"/>
      <c r="U45" s="323"/>
      <c r="V45" s="313"/>
      <c r="W45" s="289"/>
      <c r="X45" s="316"/>
      <c r="Y45" s="289"/>
      <c r="Z45" s="326"/>
      <c r="AA45" s="393"/>
      <c r="AB45" s="326"/>
      <c r="AC45" s="326"/>
      <c r="AD45" s="326"/>
      <c r="AE45" s="324"/>
      <c r="AF45" s="313"/>
      <c r="AG45" s="197"/>
      <c r="AH45" s="329"/>
      <c r="AI45" s="330"/>
      <c r="AJ45" s="313"/>
      <c r="AK45" s="331"/>
      <c r="AL45" s="364"/>
      <c r="AM45" s="313"/>
      <c r="AN45" s="332"/>
      <c r="AO45" s="332"/>
      <c r="AP45" s="369"/>
      <c r="AQ45" s="315"/>
      <c r="AR45" s="315"/>
      <c r="AS45" s="315"/>
      <c r="AT45" s="385"/>
      <c r="AU45" s="333"/>
      <c r="AV45" s="333"/>
      <c r="AW45" s="333"/>
      <c r="AX45" s="315"/>
      <c r="AY45" s="315"/>
      <c r="AZ45" s="315"/>
      <c r="BA45" s="315"/>
      <c r="BB45" s="315"/>
    </row>
    <row r="46" spans="1:56" s="334" customFormat="1" ht="24" customHeight="1">
      <c r="A46" s="313"/>
      <c r="B46" s="317"/>
      <c r="C46" s="288"/>
      <c r="D46" s="315"/>
      <c r="E46" s="348"/>
      <c r="F46" s="318"/>
      <c r="G46" s="348"/>
      <c r="H46" s="350"/>
      <c r="I46" s="350"/>
      <c r="J46" s="313"/>
      <c r="K46" s="313"/>
      <c r="L46" s="288"/>
      <c r="M46" s="347"/>
      <c r="N46" s="332"/>
      <c r="O46" s="315"/>
      <c r="P46" s="322"/>
      <c r="Q46" s="323"/>
      <c r="R46" s="323"/>
      <c r="S46" s="322"/>
      <c r="T46" s="323"/>
      <c r="U46" s="323"/>
      <c r="V46" s="313"/>
      <c r="W46" s="289"/>
      <c r="X46" s="316"/>
      <c r="Y46" s="289"/>
      <c r="Z46" s="326"/>
      <c r="AA46" s="393"/>
      <c r="AB46" s="326"/>
      <c r="AC46" s="326"/>
      <c r="AD46" s="326"/>
      <c r="AE46" s="324"/>
      <c r="AF46" s="313"/>
      <c r="AG46" s="197"/>
      <c r="AH46" s="332"/>
      <c r="AI46" s="330"/>
      <c r="AJ46" s="313"/>
      <c r="AK46" s="331"/>
      <c r="AL46" s="364"/>
      <c r="AM46" s="313"/>
      <c r="AN46" s="332"/>
      <c r="AO46" s="332"/>
      <c r="AP46" s="369"/>
      <c r="AQ46" s="315"/>
      <c r="AR46" s="315"/>
      <c r="AS46" s="315"/>
      <c r="AT46" s="385"/>
      <c r="AU46" s="333"/>
      <c r="AV46" s="333"/>
      <c r="AW46" s="333"/>
      <c r="AX46" s="315"/>
      <c r="AY46" s="315"/>
      <c r="AZ46" s="315"/>
      <c r="BA46" s="315"/>
      <c r="BB46" s="315"/>
    </row>
    <row r="47" spans="1:56" s="334" customFormat="1" ht="24" customHeight="1">
      <c r="A47" s="313"/>
      <c r="B47" s="317"/>
      <c r="C47" s="288"/>
      <c r="D47" s="315"/>
      <c r="E47" s="348"/>
      <c r="F47" s="318"/>
      <c r="G47" s="348"/>
      <c r="H47" s="350"/>
      <c r="I47" s="350"/>
      <c r="J47" s="313"/>
      <c r="K47" s="313"/>
      <c r="L47" s="347"/>
      <c r="M47" s="347"/>
      <c r="N47" s="332"/>
      <c r="O47" s="315"/>
      <c r="P47" s="322"/>
      <c r="Q47" s="323"/>
      <c r="R47" s="323"/>
      <c r="S47" s="322"/>
      <c r="T47" s="323"/>
      <c r="U47" s="323"/>
      <c r="V47" s="313"/>
      <c r="W47" s="289"/>
      <c r="X47" s="316"/>
      <c r="Y47" s="289"/>
      <c r="Z47" s="326"/>
      <c r="AA47" s="393"/>
      <c r="AB47" s="326"/>
      <c r="AC47" s="326"/>
      <c r="AD47" s="326"/>
      <c r="AE47" s="324"/>
      <c r="AF47" s="313"/>
      <c r="AG47" s="197"/>
      <c r="AH47" s="332"/>
      <c r="AI47" s="330"/>
      <c r="AJ47" s="313"/>
      <c r="AK47" s="331"/>
      <c r="AL47" s="364"/>
      <c r="AM47" s="313"/>
      <c r="AN47" s="332"/>
      <c r="AO47" s="332"/>
      <c r="AP47" s="289"/>
      <c r="AQ47" s="315"/>
      <c r="AR47" s="315"/>
      <c r="AS47" s="315"/>
      <c r="AT47" s="385"/>
      <c r="AU47" s="333"/>
      <c r="AV47" s="333"/>
      <c r="AW47" s="333"/>
      <c r="AX47" s="315"/>
      <c r="AY47" s="315"/>
      <c r="AZ47" s="315"/>
      <c r="BA47" s="315"/>
      <c r="BB47" s="315"/>
    </row>
    <row r="48" spans="1:56" s="334" customFormat="1" ht="24" customHeight="1">
      <c r="A48" s="313"/>
      <c r="B48" s="317"/>
      <c r="C48" s="318"/>
      <c r="D48" s="315"/>
      <c r="E48" s="314"/>
      <c r="F48" s="346"/>
      <c r="G48" s="314"/>
      <c r="H48" s="350"/>
      <c r="I48" s="350"/>
      <c r="J48" s="313"/>
      <c r="K48" s="313"/>
      <c r="L48" s="347"/>
      <c r="M48" s="347"/>
      <c r="N48" s="332"/>
      <c r="O48" s="315"/>
      <c r="P48" s="322"/>
      <c r="Q48" s="322"/>
      <c r="R48" s="323"/>
      <c r="S48" s="322"/>
      <c r="T48" s="323"/>
      <c r="U48" s="323"/>
      <c r="V48" s="313"/>
      <c r="W48" s="289"/>
      <c r="X48" s="316"/>
      <c r="Y48" s="289"/>
      <c r="Z48" s="326"/>
      <c r="AA48" s="324"/>
      <c r="AB48" s="326"/>
      <c r="AC48" s="326"/>
      <c r="AD48" s="326"/>
      <c r="AE48" s="324"/>
      <c r="AF48" s="313"/>
      <c r="AG48" s="197"/>
      <c r="AH48" s="332"/>
      <c r="AI48" s="330"/>
      <c r="AJ48" s="313"/>
      <c r="AK48" s="331"/>
      <c r="AL48" s="364"/>
      <c r="AM48" s="313"/>
      <c r="AN48" s="332"/>
      <c r="AO48" s="332"/>
      <c r="AP48" s="369"/>
      <c r="AQ48" s="315"/>
      <c r="AR48" s="315"/>
      <c r="AS48" s="315"/>
      <c r="AT48" s="385"/>
      <c r="AU48" s="333"/>
      <c r="AV48" s="333"/>
      <c r="AW48" s="333"/>
      <c r="AX48" s="315"/>
      <c r="AY48" s="315"/>
      <c r="AZ48" s="315"/>
      <c r="BA48" s="315"/>
      <c r="BB48" s="315"/>
    </row>
    <row r="49" spans="1:56" s="334" customFormat="1" ht="24" customHeight="1">
      <c r="A49" s="313"/>
      <c r="B49" s="317"/>
      <c r="C49" s="318"/>
      <c r="D49" s="315"/>
      <c r="E49" s="314"/>
      <c r="F49" s="346"/>
      <c r="G49" s="314"/>
      <c r="H49" s="350"/>
      <c r="I49" s="350"/>
      <c r="J49" s="313"/>
      <c r="K49" s="313"/>
      <c r="L49" s="347"/>
      <c r="M49" s="347"/>
      <c r="N49" s="332"/>
      <c r="O49" s="315"/>
      <c r="P49" s="322"/>
      <c r="Q49" s="322"/>
      <c r="R49" s="323"/>
      <c r="S49" s="322"/>
      <c r="T49" s="323"/>
      <c r="U49" s="323"/>
      <c r="V49" s="313"/>
      <c r="W49" s="289"/>
      <c r="X49" s="316"/>
      <c r="Y49" s="289"/>
      <c r="Z49" s="326"/>
      <c r="AA49" s="324"/>
      <c r="AB49" s="326"/>
      <c r="AC49" s="326"/>
      <c r="AD49" s="326"/>
      <c r="AE49" s="324"/>
      <c r="AF49" s="313"/>
      <c r="AG49" s="197"/>
      <c r="AH49" s="332"/>
      <c r="AI49" s="330"/>
      <c r="AJ49" s="313"/>
      <c r="AK49" s="331"/>
      <c r="AL49" s="364"/>
      <c r="AM49" s="313"/>
      <c r="AN49" s="332"/>
      <c r="AO49" s="332"/>
      <c r="AP49" s="369"/>
      <c r="AQ49" s="315"/>
      <c r="AR49" s="315"/>
      <c r="AS49" s="315"/>
      <c r="AT49" s="385"/>
      <c r="AU49" s="333"/>
      <c r="AV49" s="333"/>
      <c r="AW49" s="333"/>
      <c r="AX49" s="315"/>
      <c r="AY49" s="315"/>
      <c r="AZ49" s="315"/>
      <c r="BA49" s="315"/>
      <c r="BB49" s="315"/>
    </row>
    <row r="50" spans="1:56" s="334" customFormat="1" ht="24" customHeight="1">
      <c r="A50" s="313"/>
      <c r="B50" s="317"/>
      <c r="C50" s="318"/>
      <c r="D50" s="315"/>
      <c r="E50" s="348"/>
      <c r="F50" s="346"/>
      <c r="G50" s="314"/>
      <c r="H50" s="350"/>
      <c r="I50" s="350"/>
      <c r="J50" s="313"/>
      <c r="K50" s="313"/>
      <c r="L50" s="347"/>
      <c r="M50" s="347"/>
      <c r="N50" s="332"/>
      <c r="O50" s="315"/>
      <c r="P50" s="322"/>
      <c r="Q50" s="322"/>
      <c r="R50" s="323"/>
      <c r="S50" s="322"/>
      <c r="T50" s="323"/>
      <c r="U50" s="323"/>
      <c r="V50" s="313"/>
      <c r="W50" s="289"/>
      <c r="X50" s="316"/>
      <c r="Y50" s="289"/>
      <c r="Z50" s="326"/>
      <c r="AA50" s="324"/>
      <c r="AB50" s="326"/>
      <c r="AC50" s="326"/>
      <c r="AD50" s="326"/>
      <c r="AE50" s="324"/>
      <c r="AF50" s="313"/>
      <c r="AG50" s="197"/>
      <c r="AH50" s="332"/>
      <c r="AI50" s="330"/>
      <c r="AJ50" s="313"/>
      <c r="AK50" s="331"/>
      <c r="AL50" s="364"/>
      <c r="AM50" s="313"/>
      <c r="AN50" s="332"/>
      <c r="AO50" s="332"/>
      <c r="AP50" s="289"/>
      <c r="AQ50" s="315"/>
      <c r="AR50" s="315"/>
      <c r="AS50" s="315"/>
      <c r="AT50" s="385"/>
      <c r="AU50" s="333"/>
      <c r="AV50" s="333"/>
      <c r="AW50" s="333"/>
      <c r="AX50" s="315"/>
      <c r="AY50" s="315"/>
      <c r="AZ50" s="315"/>
      <c r="BA50" s="315"/>
      <c r="BB50" s="315"/>
    </row>
    <row r="51" spans="1:56" s="334" customFormat="1" ht="24" customHeight="1">
      <c r="A51" s="313"/>
      <c r="B51" s="317"/>
      <c r="C51" s="318"/>
      <c r="D51" s="315"/>
      <c r="E51" s="314"/>
      <c r="F51" s="346"/>
      <c r="G51" s="314"/>
      <c r="H51" s="350"/>
      <c r="I51" s="350"/>
      <c r="J51" s="313"/>
      <c r="K51" s="313"/>
      <c r="L51" s="347"/>
      <c r="M51" s="347"/>
      <c r="N51" s="332"/>
      <c r="O51" s="315"/>
      <c r="P51" s="322"/>
      <c r="Q51" s="323"/>
      <c r="R51" s="323"/>
      <c r="S51" s="322"/>
      <c r="T51" s="323"/>
      <c r="U51" s="323"/>
      <c r="V51" s="313"/>
      <c r="W51" s="289"/>
      <c r="X51" s="316"/>
      <c r="Y51" s="289"/>
      <c r="Z51" s="326"/>
      <c r="AA51" s="324"/>
      <c r="AB51" s="326"/>
      <c r="AC51" s="326"/>
      <c r="AD51" s="326"/>
      <c r="AE51" s="324"/>
      <c r="AF51" s="313"/>
      <c r="AG51" s="197"/>
      <c r="AH51" s="332"/>
      <c r="AI51" s="330"/>
      <c r="AJ51" s="313"/>
      <c r="AK51" s="331"/>
      <c r="AL51" s="364"/>
      <c r="AM51" s="313"/>
      <c r="AN51" s="332"/>
      <c r="AO51" s="332"/>
      <c r="AP51" s="289"/>
      <c r="AQ51" s="315"/>
      <c r="AR51" s="315"/>
      <c r="AS51" s="315"/>
      <c r="AT51" s="385"/>
      <c r="AU51" s="333"/>
      <c r="AV51" s="333"/>
      <c r="AW51" s="333"/>
      <c r="AX51" s="315"/>
      <c r="AY51" s="315"/>
      <c r="AZ51" s="315"/>
      <c r="BA51" s="315"/>
      <c r="BB51" s="315"/>
    </row>
    <row r="52" spans="1:56" s="334" customFormat="1" ht="24" customHeight="1">
      <c r="A52" s="313"/>
      <c r="B52" s="317"/>
      <c r="C52" s="318"/>
      <c r="D52" s="315"/>
      <c r="E52" s="336"/>
      <c r="F52" s="336"/>
      <c r="G52" s="336"/>
      <c r="H52" s="350"/>
      <c r="I52" s="350"/>
      <c r="J52" s="313"/>
      <c r="K52" s="313"/>
      <c r="L52" s="320"/>
      <c r="M52" s="320"/>
      <c r="N52" s="335"/>
      <c r="O52" s="315"/>
      <c r="P52" s="322"/>
      <c r="Q52" s="323"/>
      <c r="R52" s="323"/>
      <c r="S52" s="322"/>
      <c r="T52" s="323"/>
      <c r="U52" s="323"/>
      <c r="V52" s="288"/>
      <c r="W52" s="289"/>
      <c r="X52" s="316"/>
      <c r="Y52" s="289"/>
      <c r="Z52" s="289"/>
      <c r="AA52" s="324"/>
      <c r="AB52" s="326"/>
      <c r="AC52" s="326"/>
      <c r="AD52" s="326"/>
      <c r="AE52" s="324"/>
      <c r="AF52" s="313"/>
      <c r="AG52" s="197"/>
      <c r="AH52" s="329"/>
      <c r="AI52" s="330"/>
      <c r="AJ52" s="313"/>
      <c r="AK52" s="331"/>
      <c r="AL52" s="364"/>
      <c r="AM52" s="313"/>
      <c r="AN52" s="332"/>
      <c r="AO52" s="332"/>
      <c r="AP52" s="369"/>
      <c r="AQ52" s="315"/>
      <c r="AR52" s="315"/>
      <c r="AS52" s="315"/>
      <c r="AT52" s="385"/>
      <c r="AU52" s="333"/>
      <c r="AV52" s="333"/>
      <c r="AW52" s="333"/>
      <c r="AX52" s="315"/>
      <c r="AY52" s="315"/>
      <c r="AZ52" s="315"/>
      <c r="BA52" s="315"/>
      <c r="BB52" s="315"/>
    </row>
    <row r="53" spans="1:56" s="334" customFormat="1" ht="24" customHeight="1">
      <c r="A53" s="313"/>
      <c r="B53" s="317"/>
      <c r="C53" s="318"/>
      <c r="D53" s="315"/>
      <c r="E53" s="336"/>
      <c r="F53" s="336"/>
      <c r="G53" s="336"/>
      <c r="H53" s="350"/>
      <c r="I53" s="350"/>
      <c r="J53" s="313"/>
      <c r="K53" s="313"/>
      <c r="L53" s="320"/>
      <c r="M53" s="320"/>
      <c r="N53" s="335"/>
      <c r="O53" s="315"/>
      <c r="P53" s="322"/>
      <c r="Q53" s="323"/>
      <c r="R53" s="323"/>
      <c r="S53" s="322"/>
      <c r="T53" s="323"/>
      <c r="U53" s="323"/>
      <c r="V53" s="288"/>
      <c r="W53" s="289"/>
      <c r="X53" s="316"/>
      <c r="Y53" s="289"/>
      <c r="Z53" s="289"/>
      <c r="AA53" s="324"/>
      <c r="AB53" s="326"/>
      <c r="AC53" s="326"/>
      <c r="AD53" s="326"/>
      <c r="AE53" s="324"/>
      <c r="AF53" s="313"/>
      <c r="AG53" s="197"/>
      <c r="AH53" s="329"/>
      <c r="AI53" s="330"/>
      <c r="AJ53" s="313"/>
      <c r="AK53" s="331"/>
      <c r="AL53" s="364"/>
      <c r="AM53" s="313"/>
      <c r="AN53" s="332"/>
      <c r="AO53" s="332"/>
      <c r="AP53" s="369"/>
      <c r="AQ53" s="315"/>
      <c r="AR53" s="315"/>
      <c r="AS53" s="315"/>
      <c r="AT53" s="385"/>
      <c r="AU53" s="333"/>
      <c r="AV53" s="333"/>
      <c r="AW53" s="333"/>
      <c r="AX53" s="315"/>
      <c r="AY53" s="315"/>
      <c r="AZ53" s="315"/>
      <c r="BA53" s="315"/>
      <c r="BB53" s="315"/>
    </row>
    <row r="54" spans="1:56" s="334" customFormat="1" ht="24" customHeight="1">
      <c r="A54" s="313"/>
      <c r="B54" s="317"/>
      <c r="C54" s="318"/>
      <c r="D54" s="315"/>
      <c r="E54" s="336"/>
      <c r="F54" s="336"/>
      <c r="G54" s="336"/>
      <c r="H54" s="350"/>
      <c r="I54" s="350"/>
      <c r="J54" s="313"/>
      <c r="K54" s="313"/>
      <c r="L54" s="320"/>
      <c r="M54" s="320"/>
      <c r="N54" s="335"/>
      <c r="O54" s="315"/>
      <c r="P54" s="322"/>
      <c r="Q54" s="323"/>
      <c r="R54" s="323"/>
      <c r="S54" s="322"/>
      <c r="T54" s="323"/>
      <c r="U54" s="323"/>
      <c r="V54" s="288"/>
      <c r="W54" s="289"/>
      <c r="X54" s="316"/>
      <c r="Y54" s="289"/>
      <c r="Z54" s="289"/>
      <c r="AA54" s="324"/>
      <c r="AB54" s="326"/>
      <c r="AC54" s="326"/>
      <c r="AD54" s="326"/>
      <c r="AE54" s="324"/>
      <c r="AF54" s="313"/>
      <c r="AG54" s="197"/>
      <c r="AH54" s="329"/>
      <c r="AI54" s="330"/>
      <c r="AJ54" s="313"/>
      <c r="AK54" s="331"/>
      <c r="AL54" s="364"/>
      <c r="AM54" s="313"/>
      <c r="AN54" s="332"/>
      <c r="AO54" s="332"/>
      <c r="AP54" s="369"/>
      <c r="AQ54" s="315"/>
      <c r="AR54" s="315"/>
      <c r="AS54" s="315"/>
      <c r="AT54" s="385"/>
      <c r="AU54" s="333"/>
      <c r="AV54" s="333"/>
      <c r="AW54" s="333"/>
      <c r="AX54" s="315"/>
      <c r="AY54" s="315"/>
      <c r="AZ54" s="315"/>
      <c r="BA54" s="315"/>
      <c r="BB54" s="315"/>
    </row>
    <row r="55" spans="1:56" s="334" customFormat="1" ht="24" customHeight="1">
      <c r="A55" s="313"/>
      <c r="B55" s="317"/>
      <c r="C55" s="318"/>
      <c r="D55" s="315"/>
      <c r="E55" s="336"/>
      <c r="F55" s="336"/>
      <c r="G55" s="336"/>
      <c r="H55" s="350"/>
      <c r="I55" s="350"/>
      <c r="J55" s="313"/>
      <c r="K55" s="313"/>
      <c r="L55" s="320"/>
      <c r="M55" s="320"/>
      <c r="N55" s="335"/>
      <c r="O55" s="315"/>
      <c r="P55" s="322"/>
      <c r="Q55" s="323"/>
      <c r="R55" s="323"/>
      <c r="S55" s="322"/>
      <c r="T55" s="323"/>
      <c r="U55" s="323"/>
      <c r="V55" s="288"/>
      <c r="W55" s="289"/>
      <c r="X55" s="316"/>
      <c r="Y55" s="289"/>
      <c r="Z55" s="289"/>
      <c r="AA55" s="324"/>
      <c r="AB55" s="326"/>
      <c r="AC55" s="326"/>
      <c r="AD55" s="326"/>
      <c r="AE55" s="324"/>
      <c r="AF55" s="313"/>
      <c r="AG55" s="197"/>
      <c r="AH55" s="329"/>
      <c r="AI55" s="330"/>
      <c r="AJ55" s="313"/>
      <c r="AK55" s="331"/>
      <c r="AL55" s="364"/>
      <c r="AM55" s="313"/>
      <c r="AN55" s="332"/>
      <c r="AO55" s="332"/>
      <c r="AP55" s="369"/>
      <c r="AQ55" s="315"/>
      <c r="AR55" s="315"/>
      <c r="AS55" s="315"/>
      <c r="AT55" s="385"/>
      <c r="AU55" s="333"/>
      <c r="AV55" s="333"/>
      <c r="AW55" s="333"/>
      <c r="AX55" s="315"/>
      <c r="AY55" s="315"/>
      <c r="AZ55" s="315"/>
      <c r="BA55" s="315"/>
      <c r="BB55" s="315"/>
    </row>
    <row r="56" spans="1:56" s="334" customFormat="1" ht="24" customHeight="1">
      <c r="A56" s="313"/>
      <c r="B56" s="317"/>
      <c r="C56" s="318"/>
      <c r="D56" s="315"/>
      <c r="E56" s="336"/>
      <c r="F56" s="336"/>
      <c r="G56" s="336"/>
      <c r="H56" s="350"/>
      <c r="I56" s="350"/>
      <c r="J56" s="313"/>
      <c r="K56" s="313"/>
      <c r="L56" s="320"/>
      <c r="M56" s="320"/>
      <c r="N56" s="335"/>
      <c r="O56" s="315"/>
      <c r="P56" s="322"/>
      <c r="Q56" s="323"/>
      <c r="R56" s="323"/>
      <c r="S56" s="322"/>
      <c r="T56" s="323"/>
      <c r="U56" s="323"/>
      <c r="V56" s="288"/>
      <c r="W56" s="289"/>
      <c r="X56" s="316"/>
      <c r="Y56" s="289"/>
      <c r="Z56" s="289"/>
      <c r="AA56" s="324"/>
      <c r="AB56" s="326"/>
      <c r="AC56" s="326"/>
      <c r="AD56" s="326"/>
      <c r="AE56" s="324"/>
      <c r="AF56" s="313"/>
      <c r="AG56" s="197"/>
      <c r="AH56" s="329"/>
      <c r="AI56" s="330"/>
      <c r="AJ56" s="313"/>
      <c r="AK56" s="331"/>
      <c r="AL56" s="364"/>
      <c r="AM56" s="313"/>
      <c r="AN56" s="332"/>
      <c r="AO56" s="332"/>
      <c r="AP56" s="369"/>
      <c r="AQ56" s="315"/>
      <c r="AR56" s="315"/>
      <c r="AS56" s="315"/>
      <c r="AT56" s="385"/>
      <c r="AU56" s="333"/>
      <c r="AV56" s="333"/>
      <c r="AW56" s="333"/>
      <c r="AX56" s="315"/>
      <c r="AY56" s="315"/>
      <c r="AZ56" s="315"/>
      <c r="BA56" s="315"/>
      <c r="BB56" s="315"/>
    </row>
    <row r="57" spans="1:56" s="334" customFormat="1" ht="24" customHeight="1">
      <c r="A57" s="313"/>
      <c r="B57" s="317"/>
      <c r="C57" s="318"/>
      <c r="D57" s="315"/>
      <c r="E57" s="336"/>
      <c r="F57" s="336"/>
      <c r="G57" s="336"/>
      <c r="H57" s="350"/>
      <c r="I57" s="350"/>
      <c r="J57" s="313"/>
      <c r="K57" s="313"/>
      <c r="L57" s="320"/>
      <c r="M57" s="320"/>
      <c r="N57" s="335"/>
      <c r="O57" s="315"/>
      <c r="P57" s="322"/>
      <c r="Q57" s="323"/>
      <c r="R57" s="323"/>
      <c r="S57" s="322"/>
      <c r="T57" s="323"/>
      <c r="U57" s="323"/>
      <c r="V57" s="288"/>
      <c r="W57" s="289"/>
      <c r="X57" s="316"/>
      <c r="Y57" s="289"/>
      <c r="Z57" s="289"/>
      <c r="AA57" s="324"/>
      <c r="AB57" s="326"/>
      <c r="AC57" s="326"/>
      <c r="AD57" s="326"/>
      <c r="AE57" s="324"/>
      <c r="AF57" s="313"/>
      <c r="AG57" s="197"/>
      <c r="AH57" s="329"/>
      <c r="AI57" s="330"/>
      <c r="AJ57" s="313"/>
      <c r="AK57" s="331"/>
      <c r="AL57" s="364"/>
      <c r="AM57" s="313"/>
      <c r="AN57" s="332"/>
      <c r="AO57" s="332"/>
      <c r="AP57" s="369"/>
      <c r="AQ57" s="315"/>
      <c r="AR57" s="315"/>
      <c r="AS57" s="315"/>
      <c r="AT57" s="385"/>
      <c r="AU57" s="333"/>
      <c r="AV57" s="333"/>
      <c r="AW57" s="333"/>
      <c r="AX57" s="315"/>
      <c r="AY57" s="315"/>
      <c r="AZ57" s="315"/>
      <c r="BA57" s="315"/>
      <c r="BB57" s="315"/>
    </row>
    <row r="58" spans="1:56" s="334" customFormat="1" ht="24" customHeight="1">
      <c r="A58" s="313"/>
      <c r="B58" s="317"/>
      <c r="C58" s="318"/>
      <c r="D58" s="315"/>
      <c r="E58" s="336"/>
      <c r="F58" s="336"/>
      <c r="G58" s="336"/>
      <c r="H58" s="350"/>
      <c r="I58" s="350"/>
      <c r="J58" s="313"/>
      <c r="K58" s="313"/>
      <c r="L58" s="320"/>
      <c r="M58" s="320"/>
      <c r="N58" s="335"/>
      <c r="O58" s="315"/>
      <c r="P58" s="322"/>
      <c r="Q58" s="323"/>
      <c r="R58" s="323"/>
      <c r="S58" s="322"/>
      <c r="T58" s="323"/>
      <c r="U58" s="323"/>
      <c r="V58" s="288"/>
      <c r="W58" s="289"/>
      <c r="X58" s="316"/>
      <c r="Y58" s="289"/>
      <c r="Z58" s="289"/>
      <c r="AA58" s="324"/>
      <c r="AB58" s="326"/>
      <c r="AC58" s="326"/>
      <c r="AD58" s="326"/>
      <c r="AE58" s="324"/>
      <c r="AF58" s="313"/>
      <c r="AG58" s="197"/>
      <c r="AH58" s="329"/>
      <c r="AI58" s="330"/>
      <c r="AJ58" s="313"/>
      <c r="AK58" s="331"/>
      <c r="AL58" s="364"/>
      <c r="AM58" s="313"/>
      <c r="AN58" s="332"/>
      <c r="AO58" s="332"/>
      <c r="AP58" s="369"/>
      <c r="AQ58" s="315"/>
      <c r="AR58" s="315"/>
      <c r="AS58" s="315"/>
      <c r="AT58" s="385"/>
      <c r="AU58" s="333"/>
      <c r="AV58" s="333"/>
      <c r="AW58" s="333"/>
      <c r="AX58" s="315"/>
      <c r="AY58" s="315"/>
      <c r="AZ58" s="315"/>
      <c r="BA58" s="315"/>
      <c r="BB58" s="315"/>
      <c r="BD58" s="349"/>
    </row>
    <row r="59" spans="1:56" s="334" customFormat="1" ht="24" customHeight="1">
      <c r="A59" s="313"/>
      <c r="B59" s="317"/>
      <c r="C59" s="318"/>
      <c r="D59" s="315"/>
      <c r="E59" s="336"/>
      <c r="F59" s="336"/>
      <c r="G59" s="336"/>
      <c r="H59" s="350"/>
      <c r="I59" s="350"/>
      <c r="J59" s="313"/>
      <c r="K59" s="313"/>
      <c r="L59" s="320"/>
      <c r="M59" s="320"/>
      <c r="N59" s="335"/>
      <c r="O59" s="315"/>
      <c r="P59" s="322"/>
      <c r="Q59" s="323"/>
      <c r="R59" s="323"/>
      <c r="S59" s="322"/>
      <c r="T59" s="323"/>
      <c r="U59" s="323"/>
      <c r="V59" s="288"/>
      <c r="W59" s="289"/>
      <c r="X59" s="316"/>
      <c r="Y59" s="289"/>
      <c r="Z59" s="289"/>
      <c r="AA59" s="324"/>
      <c r="AB59" s="326"/>
      <c r="AC59" s="326"/>
      <c r="AD59" s="326"/>
      <c r="AE59" s="324"/>
      <c r="AF59" s="313"/>
      <c r="AG59" s="197"/>
      <c r="AH59" s="329"/>
      <c r="AI59" s="330"/>
      <c r="AJ59" s="313"/>
      <c r="AK59" s="331"/>
      <c r="AL59" s="364"/>
      <c r="AM59" s="313"/>
      <c r="AN59" s="332"/>
      <c r="AO59" s="332"/>
      <c r="AP59" s="369"/>
      <c r="AQ59" s="315"/>
      <c r="AR59" s="315"/>
      <c r="AS59" s="315"/>
      <c r="AT59" s="385"/>
      <c r="AU59" s="333"/>
      <c r="AV59" s="333"/>
      <c r="AW59" s="333"/>
      <c r="AX59" s="315"/>
      <c r="AY59" s="315"/>
      <c r="AZ59" s="315"/>
      <c r="BA59" s="315"/>
      <c r="BB59" s="315"/>
      <c r="BD59" s="349"/>
    </row>
    <row r="60" spans="1:56" s="334" customFormat="1" ht="24" customHeight="1">
      <c r="A60" s="313"/>
      <c r="B60" s="317"/>
      <c r="C60" s="318"/>
      <c r="D60" s="315"/>
      <c r="E60" s="314"/>
      <c r="F60" s="346"/>
      <c r="G60" s="314"/>
      <c r="H60" s="350"/>
      <c r="I60" s="350"/>
      <c r="J60" s="313"/>
      <c r="K60" s="313"/>
      <c r="L60" s="347"/>
      <c r="M60" s="347"/>
      <c r="N60" s="332"/>
      <c r="O60" s="315"/>
      <c r="P60" s="322"/>
      <c r="Q60" s="323"/>
      <c r="R60" s="323"/>
      <c r="S60" s="322"/>
      <c r="T60" s="323"/>
      <c r="U60" s="323"/>
      <c r="V60" s="288"/>
      <c r="W60" s="289"/>
      <c r="X60" s="316"/>
      <c r="Y60" s="289"/>
      <c r="Z60" s="289"/>
      <c r="AA60" s="324"/>
      <c r="AB60" s="326"/>
      <c r="AC60" s="326"/>
      <c r="AD60" s="326"/>
      <c r="AE60" s="324"/>
      <c r="AF60" s="313"/>
      <c r="AG60" s="197"/>
      <c r="AH60" s="332"/>
      <c r="AI60" s="330"/>
      <c r="AJ60" s="313"/>
      <c r="AK60" s="331"/>
      <c r="AL60" s="364"/>
      <c r="AM60" s="313"/>
      <c r="AN60" s="332"/>
      <c r="AO60" s="332"/>
      <c r="AP60" s="289"/>
      <c r="AQ60" s="315"/>
      <c r="AR60" s="315"/>
      <c r="AS60" s="315"/>
      <c r="AT60" s="385"/>
      <c r="AU60" s="333"/>
      <c r="AV60" s="333"/>
      <c r="AW60" s="333"/>
      <c r="AX60" s="315"/>
      <c r="AY60" s="315"/>
      <c r="AZ60" s="315"/>
      <c r="BA60" s="315"/>
      <c r="BB60" s="315"/>
    </row>
    <row r="61" spans="1:56" s="334" customFormat="1" ht="24" customHeight="1">
      <c r="A61" s="313"/>
      <c r="B61" s="317"/>
      <c r="C61" s="318"/>
      <c r="D61" s="315"/>
      <c r="E61" s="314"/>
      <c r="F61" s="346"/>
      <c r="G61" s="314"/>
      <c r="H61" s="350"/>
      <c r="I61" s="350"/>
      <c r="J61" s="313"/>
      <c r="K61" s="313"/>
      <c r="L61" s="347"/>
      <c r="M61" s="347"/>
      <c r="N61" s="332"/>
      <c r="O61" s="315"/>
      <c r="P61" s="322"/>
      <c r="Q61" s="322"/>
      <c r="R61" s="323"/>
      <c r="S61" s="322"/>
      <c r="T61" s="323"/>
      <c r="U61" s="323"/>
      <c r="V61" s="288"/>
      <c r="W61" s="289"/>
      <c r="X61" s="316"/>
      <c r="Y61" s="289"/>
      <c r="Z61" s="289"/>
      <c r="AA61" s="324"/>
      <c r="AB61" s="326"/>
      <c r="AC61" s="326"/>
      <c r="AD61" s="326"/>
      <c r="AE61" s="324"/>
      <c r="AF61" s="313"/>
      <c r="AG61" s="197"/>
      <c r="AH61" s="332"/>
      <c r="AI61" s="330"/>
      <c r="AJ61" s="313"/>
      <c r="AK61" s="331"/>
      <c r="AL61" s="364"/>
      <c r="AM61" s="313"/>
      <c r="AN61" s="332"/>
      <c r="AO61" s="332"/>
      <c r="AP61" s="369"/>
      <c r="AQ61" s="315"/>
      <c r="AR61" s="315"/>
      <c r="AS61" s="315"/>
      <c r="AT61" s="385"/>
      <c r="AU61" s="333"/>
      <c r="AV61" s="333"/>
      <c r="AW61" s="333"/>
      <c r="AX61" s="315"/>
      <c r="AY61" s="315"/>
      <c r="AZ61" s="315"/>
      <c r="BA61" s="315"/>
      <c r="BB61" s="315"/>
    </row>
    <row r="62" spans="1:56" s="334" customFormat="1" ht="24" customHeight="1">
      <c r="A62" s="313"/>
      <c r="B62" s="317"/>
      <c r="C62" s="318"/>
      <c r="D62" s="315"/>
      <c r="E62" s="341"/>
      <c r="F62" s="335"/>
      <c r="G62" s="342"/>
      <c r="H62" s="350"/>
      <c r="I62" s="350"/>
      <c r="J62" s="313"/>
      <c r="K62" s="313"/>
      <c r="L62" s="343"/>
      <c r="M62" s="343"/>
      <c r="N62" s="321"/>
      <c r="O62" s="315"/>
      <c r="P62" s="344"/>
      <c r="Q62" s="323"/>
      <c r="R62" s="323"/>
      <c r="S62" s="322"/>
      <c r="T62" s="323"/>
      <c r="U62" s="323"/>
      <c r="V62" s="288"/>
      <c r="W62" s="289"/>
      <c r="X62" s="316"/>
      <c r="Y62" s="289"/>
      <c r="Z62" s="289"/>
      <c r="AA62" s="324"/>
      <c r="AB62" s="326"/>
      <c r="AC62" s="326"/>
      <c r="AD62" s="326"/>
      <c r="AE62" s="324"/>
      <c r="AF62" s="313"/>
      <c r="AG62" s="197"/>
      <c r="AH62" s="345"/>
      <c r="AI62" s="330"/>
      <c r="AJ62" s="313"/>
      <c r="AK62" s="331"/>
      <c r="AL62" s="364"/>
      <c r="AM62" s="313"/>
      <c r="AN62" s="332"/>
      <c r="AO62" s="332"/>
      <c r="AP62" s="369"/>
      <c r="AQ62" s="315"/>
      <c r="AR62" s="315"/>
      <c r="AS62" s="315"/>
      <c r="AT62" s="385"/>
      <c r="AU62" s="333"/>
      <c r="AV62" s="333"/>
      <c r="AW62" s="333"/>
      <c r="AX62" s="315"/>
      <c r="AY62" s="315"/>
      <c r="AZ62" s="315"/>
      <c r="BA62" s="315"/>
      <c r="BB62" s="315"/>
    </row>
    <row r="63" spans="1:56" s="334" customFormat="1" ht="24" customHeight="1">
      <c r="A63" s="313"/>
      <c r="B63" s="317"/>
      <c r="C63" s="318"/>
      <c r="D63" s="315"/>
      <c r="E63" s="341"/>
      <c r="F63" s="335"/>
      <c r="G63" s="342"/>
      <c r="H63" s="350"/>
      <c r="I63" s="350"/>
      <c r="J63" s="313"/>
      <c r="K63" s="313"/>
      <c r="L63" s="343"/>
      <c r="M63" s="343"/>
      <c r="N63" s="321"/>
      <c r="O63" s="315"/>
      <c r="P63" s="344"/>
      <c r="Q63" s="323"/>
      <c r="R63" s="323"/>
      <c r="S63" s="322"/>
      <c r="T63" s="323"/>
      <c r="U63" s="323"/>
      <c r="V63" s="288"/>
      <c r="W63" s="289"/>
      <c r="X63" s="316"/>
      <c r="Y63" s="289"/>
      <c r="Z63" s="289"/>
      <c r="AA63" s="324"/>
      <c r="AB63" s="326"/>
      <c r="AC63" s="326"/>
      <c r="AD63" s="326"/>
      <c r="AE63" s="324"/>
      <c r="AF63" s="313"/>
      <c r="AG63" s="197"/>
      <c r="AH63" s="345"/>
      <c r="AI63" s="330"/>
      <c r="AJ63" s="313"/>
      <c r="AK63" s="331"/>
      <c r="AL63" s="364"/>
      <c r="AM63" s="313"/>
      <c r="AN63" s="332"/>
      <c r="AO63" s="332"/>
      <c r="AP63" s="289"/>
      <c r="AQ63" s="315"/>
      <c r="AR63" s="315"/>
      <c r="AS63" s="315"/>
      <c r="AT63" s="385"/>
      <c r="AU63" s="333"/>
      <c r="AV63" s="333"/>
      <c r="AW63" s="333"/>
      <c r="AX63" s="315"/>
      <c r="AY63" s="315"/>
      <c r="AZ63" s="315"/>
      <c r="BA63" s="315"/>
      <c r="BB63" s="315"/>
    </row>
    <row r="64" spans="1:56" s="334" customFormat="1" ht="24" customHeight="1">
      <c r="A64" s="313"/>
      <c r="B64" s="317"/>
      <c r="C64" s="318"/>
      <c r="D64" s="315"/>
      <c r="E64" s="341"/>
      <c r="F64" s="335"/>
      <c r="G64" s="342"/>
      <c r="H64" s="350"/>
      <c r="I64" s="350"/>
      <c r="J64" s="313"/>
      <c r="K64" s="313"/>
      <c r="L64" s="343"/>
      <c r="M64" s="343"/>
      <c r="N64" s="321"/>
      <c r="O64" s="315"/>
      <c r="P64" s="344"/>
      <c r="Q64" s="323"/>
      <c r="R64" s="323"/>
      <c r="S64" s="322"/>
      <c r="T64" s="323"/>
      <c r="U64" s="323"/>
      <c r="V64" s="288"/>
      <c r="W64" s="289"/>
      <c r="X64" s="316"/>
      <c r="Y64" s="289"/>
      <c r="Z64" s="289"/>
      <c r="AA64" s="324"/>
      <c r="AB64" s="326"/>
      <c r="AC64" s="326"/>
      <c r="AD64" s="326"/>
      <c r="AE64" s="324"/>
      <c r="AF64" s="313"/>
      <c r="AG64" s="197"/>
      <c r="AH64" s="345"/>
      <c r="AI64" s="330"/>
      <c r="AJ64" s="313"/>
      <c r="AK64" s="331"/>
      <c r="AL64" s="364"/>
      <c r="AM64" s="313"/>
      <c r="AN64" s="332"/>
      <c r="AO64" s="332"/>
      <c r="AP64" s="369"/>
      <c r="AQ64" s="315"/>
      <c r="AR64" s="315"/>
      <c r="AS64" s="315"/>
      <c r="AT64" s="385"/>
      <c r="AU64" s="333"/>
      <c r="AV64" s="333"/>
      <c r="AW64" s="333"/>
      <c r="AX64" s="315"/>
      <c r="AY64" s="315"/>
      <c r="AZ64" s="315"/>
      <c r="BA64" s="315"/>
      <c r="BB64" s="315"/>
    </row>
    <row r="65" spans="1:56" s="334" customFormat="1" ht="24" customHeight="1">
      <c r="A65" s="313"/>
      <c r="B65" s="317"/>
      <c r="C65" s="318"/>
      <c r="D65" s="315"/>
      <c r="E65" s="341"/>
      <c r="F65" s="335"/>
      <c r="G65" s="342"/>
      <c r="H65" s="350"/>
      <c r="I65" s="350"/>
      <c r="J65" s="313"/>
      <c r="K65" s="313"/>
      <c r="L65" s="343"/>
      <c r="M65" s="343"/>
      <c r="N65" s="321"/>
      <c r="O65" s="315"/>
      <c r="P65" s="344"/>
      <c r="Q65" s="323"/>
      <c r="R65" s="323"/>
      <c r="S65" s="322"/>
      <c r="T65" s="323"/>
      <c r="U65" s="323"/>
      <c r="V65" s="288"/>
      <c r="W65" s="289"/>
      <c r="X65" s="316"/>
      <c r="Y65" s="289"/>
      <c r="Z65" s="289"/>
      <c r="AA65" s="324"/>
      <c r="AB65" s="326"/>
      <c r="AC65" s="326"/>
      <c r="AD65" s="326"/>
      <c r="AE65" s="324"/>
      <c r="AF65" s="313"/>
      <c r="AG65" s="197"/>
      <c r="AH65" s="345"/>
      <c r="AI65" s="330"/>
      <c r="AJ65" s="313"/>
      <c r="AK65" s="331"/>
      <c r="AL65" s="364"/>
      <c r="AM65" s="313"/>
      <c r="AN65" s="332"/>
      <c r="AO65" s="332"/>
      <c r="AP65" s="369"/>
      <c r="AQ65" s="315"/>
      <c r="AR65" s="315"/>
      <c r="AS65" s="315"/>
      <c r="AT65" s="385"/>
      <c r="AU65" s="333"/>
      <c r="AV65" s="333"/>
      <c r="AW65" s="333"/>
      <c r="AX65" s="315"/>
      <c r="AY65" s="315"/>
      <c r="AZ65" s="315"/>
      <c r="BA65" s="315"/>
      <c r="BB65" s="315"/>
    </row>
    <row r="66" spans="1:56" s="334" customFormat="1" ht="24" customHeight="1">
      <c r="A66" s="313"/>
      <c r="B66" s="317"/>
      <c r="C66" s="288"/>
      <c r="D66" s="315"/>
      <c r="E66" s="341"/>
      <c r="F66" s="318"/>
      <c r="G66" s="354"/>
      <c r="H66" s="350"/>
      <c r="I66" s="350"/>
      <c r="J66" s="313"/>
      <c r="K66" s="313"/>
      <c r="L66" s="347"/>
      <c r="M66" s="347"/>
      <c r="N66" s="332"/>
      <c r="O66" s="315"/>
      <c r="P66" s="344"/>
      <c r="Q66" s="322"/>
      <c r="R66" s="323"/>
      <c r="S66" s="322"/>
      <c r="T66" s="323"/>
      <c r="U66" s="323"/>
      <c r="V66" s="313"/>
      <c r="W66" s="289"/>
      <c r="X66" s="316"/>
      <c r="Y66" s="326"/>
      <c r="Z66" s="326"/>
      <c r="AA66" s="318"/>
      <c r="AB66" s="326"/>
      <c r="AC66" s="326"/>
      <c r="AD66" s="326"/>
      <c r="AE66" s="324"/>
      <c r="AF66" s="313"/>
      <c r="AG66" s="197"/>
      <c r="AH66" s="332"/>
      <c r="AI66" s="330"/>
      <c r="AJ66" s="313"/>
      <c r="AK66" s="331"/>
      <c r="AL66" s="364"/>
      <c r="AM66" s="313"/>
      <c r="AN66" s="332"/>
      <c r="AO66" s="332"/>
      <c r="AP66" s="360"/>
      <c r="AQ66" s="315"/>
      <c r="AR66" s="315"/>
      <c r="AS66" s="315"/>
      <c r="AT66" s="385"/>
      <c r="AU66" s="333"/>
      <c r="AV66" s="333"/>
      <c r="AW66" s="333"/>
      <c r="AX66" s="315"/>
      <c r="AY66" s="315"/>
      <c r="AZ66" s="315"/>
      <c r="BA66" s="315"/>
      <c r="BB66" s="315"/>
    </row>
    <row r="67" spans="1:56" s="334" customFormat="1" ht="24" customHeight="1">
      <c r="A67" s="313"/>
      <c r="B67" s="317"/>
      <c r="C67" s="288"/>
      <c r="D67" s="315"/>
      <c r="E67" s="341"/>
      <c r="F67" s="318"/>
      <c r="G67" s="354"/>
      <c r="H67" s="350"/>
      <c r="I67" s="350"/>
      <c r="J67" s="313"/>
      <c r="K67" s="313"/>
      <c r="L67" s="347"/>
      <c r="M67" s="347"/>
      <c r="N67" s="332"/>
      <c r="O67" s="315"/>
      <c r="P67" s="344"/>
      <c r="Q67" s="322"/>
      <c r="R67" s="323"/>
      <c r="S67" s="322"/>
      <c r="T67" s="323"/>
      <c r="U67" s="323"/>
      <c r="V67" s="313"/>
      <c r="W67" s="289"/>
      <c r="X67" s="316"/>
      <c r="Y67" s="326"/>
      <c r="Z67" s="326"/>
      <c r="AA67" s="318"/>
      <c r="AB67" s="326"/>
      <c r="AC67" s="326"/>
      <c r="AD67" s="326"/>
      <c r="AE67" s="324"/>
      <c r="AF67" s="313"/>
      <c r="AG67" s="197"/>
      <c r="AH67" s="332"/>
      <c r="AI67" s="330"/>
      <c r="AJ67" s="313"/>
      <c r="AK67" s="331"/>
      <c r="AL67" s="364"/>
      <c r="AM67" s="313"/>
      <c r="AN67" s="332"/>
      <c r="AO67" s="332"/>
      <c r="AP67" s="360"/>
      <c r="AQ67" s="315"/>
      <c r="AR67" s="315"/>
      <c r="AS67" s="315"/>
      <c r="AT67" s="385"/>
      <c r="AU67" s="333"/>
      <c r="AV67" s="333"/>
      <c r="AW67" s="333"/>
      <c r="AX67" s="315"/>
      <c r="AY67" s="315"/>
      <c r="AZ67" s="315"/>
      <c r="BA67" s="315"/>
      <c r="BB67" s="315"/>
    </row>
    <row r="68" spans="1:56" s="334" customFormat="1" ht="24" customHeight="1">
      <c r="A68" s="313"/>
      <c r="B68" s="317"/>
      <c r="C68" s="288"/>
      <c r="D68" s="315"/>
      <c r="E68" s="341"/>
      <c r="F68" s="318"/>
      <c r="G68" s="354"/>
      <c r="H68" s="350"/>
      <c r="I68" s="350"/>
      <c r="J68" s="313"/>
      <c r="K68" s="313"/>
      <c r="L68" s="347"/>
      <c r="M68" s="347"/>
      <c r="N68" s="332"/>
      <c r="O68" s="315"/>
      <c r="P68" s="344"/>
      <c r="Q68" s="322"/>
      <c r="R68" s="323"/>
      <c r="S68" s="322"/>
      <c r="T68" s="323"/>
      <c r="U68" s="323"/>
      <c r="V68" s="313"/>
      <c r="W68" s="289"/>
      <c r="X68" s="340"/>
      <c r="Y68" s="326"/>
      <c r="Z68" s="326"/>
      <c r="AA68" s="318"/>
      <c r="AB68" s="326"/>
      <c r="AC68" s="326"/>
      <c r="AD68" s="326"/>
      <c r="AE68" s="324"/>
      <c r="AF68" s="313"/>
      <c r="AG68" s="197"/>
      <c r="AH68" s="332"/>
      <c r="AI68" s="330"/>
      <c r="AJ68" s="313"/>
      <c r="AK68" s="331"/>
      <c r="AL68" s="364"/>
      <c r="AM68" s="313"/>
      <c r="AN68" s="332"/>
      <c r="AO68" s="332"/>
      <c r="AP68" s="360"/>
      <c r="AQ68" s="315"/>
      <c r="AR68" s="315"/>
      <c r="AS68" s="315"/>
      <c r="AT68" s="385"/>
      <c r="AU68" s="333"/>
      <c r="AV68" s="333"/>
      <c r="AW68" s="333"/>
      <c r="AX68" s="315"/>
      <c r="AY68" s="315"/>
      <c r="AZ68" s="315"/>
      <c r="BA68" s="315"/>
      <c r="BB68" s="315"/>
    </row>
    <row r="69" spans="1:56" s="334" customFormat="1" ht="24" customHeight="1">
      <c r="A69" s="313"/>
      <c r="B69" s="317"/>
      <c r="C69" s="288"/>
      <c r="D69" s="315"/>
      <c r="E69" s="341"/>
      <c r="F69" s="318"/>
      <c r="G69" s="354"/>
      <c r="H69" s="350"/>
      <c r="I69" s="350"/>
      <c r="J69" s="313"/>
      <c r="K69" s="313"/>
      <c r="L69" s="347"/>
      <c r="M69" s="347"/>
      <c r="N69" s="332"/>
      <c r="O69" s="315"/>
      <c r="P69" s="344"/>
      <c r="Q69" s="322"/>
      <c r="R69" s="323"/>
      <c r="S69" s="322"/>
      <c r="T69" s="323"/>
      <c r="U69" s="323"/>
      <c r="V69" s="313"/>
      <c r="W69" s="289"/>
      <c r="X69" s="340"/>
      <c r="Y69" s="326"/>
      <c r="Z69" s="326"/>
      <c r="AA69" s="318"/>
      <c r="AB69" s="326"/>
      <c r="AC69" s="326"/>
      <c r="AD69" s="326"/>
      <c r="AE69" s="324"/>
      <c r="AF69" s="313"/>
      <c r="AG69" s="197"/>
      <c r="AH69" s="332"/>
      <c r="AI69" s="330"/>
      <c r="AJ69" s="313"/>
      <c r="AK69" s="331"/>
      <c r="AL69" s="364"/>
      <c r="AM69" s="313"/>
      <c r="AN69" s="332"/>
      <c r="AO69" s="332"/>
      <c r="AP69" s="360"/>
      <c r="AQ69" s="315"/>
      <c r="AR69" s="315"/>
      <c r="AS69" s="315"/>
      <c r="AT69" s="385"/>
      <c r="AU69" s="333"/>
      <c r="AV69" s="333"/>
      <c r="AW69" s="333"/>
      <c r="AX69" s="315"/>
      <c r="AY69" s="315"/>
      <c r="AZ69" s="315"/>
      <c r="BA69" s="315"/>
      <c r="BB69" s="315"/>
    </row>
    <row r="70" spans="1:56" s="334" customFormat="1" ht="24" customHeight="1">
      <c r="A70" s="313"/>
      <c r="B70" s="317"/>
      <c r="C70" s="288"/>
      <c r="D70" s="315"/>
      <c r="E70" s="318"/>
      <c r="F70" s="318"/>
      <c r="G70" s="318"/>
      <c r="H70" s="350"/>
      <c r="I70" s="350"/>
      <c r="J70" s="313"/>
      <c r="K70" s="323"/>
      <c r="L70" s="353"/>
      <c r="M70" s="353"/>
      <c r="N70" s="332"/>
      <c r="O70" s="315"/>
      <c r="P70" s="322"/>
      <c r="Q70" s="323"/>
      <c r="R70" s="323"/>
      <c r="S70" s="322"/>
      <c r="T70" s="323"/>
      <c r="U70" s="323"/>
      <c r="V70" s="288"/>
      <c r="W70" s="289"/>
      <c r="X70" s="316"/>
      <c r="Y70" s="351"/>
      <c r="Z70" s="326"/>
      <c r="AA70" s="396"/>
      <c r="AB70" s="326"/>
      <c r="AC70" s="326"/>
      <c r="AD70" s="326"/>
      <c r="AE70" s="324"/>
      <c r="AF70" s="313"/>
      <c r="AG70" s="197"/>
      <c r="AH70" s="329"/>
      <c r="AI70" s="330"/>
      <c r="AJ70" s="313"/>
      <c r="AK70" s="331"/>
      <c r="AL70" s="364"/>
      <c r="AM70" s="313"/>
      <c r="AN70" s="332"/>
      <c r="AO70" s="332"/>
      <c r="AP70" s="305"/>
      <c r="AQ70" s="315"/>
      <c r="AR70" s="315"/>
      <c r="AS70" s="315"/>
      <c r="AT70" s="385"/>
      <c r="AU70" s="333"/>
      <c r="AV70" s="333"/>
      <c r="AW70" s="333"/>
      <c r="AX70" s="315"/>
      <c r="AY70" s="315"/>
      <c r="AZ70" s="315"/>
      <c r="BA70" s="193"/>
      <c r="BB70" s="394"/>
    </row>
    <row r="71" spans="1:56" s="334" customFormat="1" ht="24" customHeight="1">
      <c r="A71" s="313"/>
      <c r="B71" s="317"/>
      <c r="C71" s="288"/>
      <c r="D71" s="315"/>
      <c r="E71" s="318"/>
      <c r="F71" s="318"/>
      <c r="G71" s="318"/>
      <c r="H71" s="350"/>
      <c r="I71" s="350"/>
      <c r="J71" s="313"/>
      <c r="K71" s="313"/>
      <c r="L71" s="347"/>
      <c r="M71" s="347"/>
      <c r="N71" s="332"/>
      <c r="O71" s="315"/>
      <c r="P71" s="322"/>
      <c r="Q71" s="323"/>
      <c r="R71" s="323"/>
      <c r="S71" s="322"/>
      <c r="T71" s="323"/>
      <c r="U71" s="323"/>
      <c r="V71" s="288"/>
      <c r="W71" s="289"/>
      <c r="X71" s="340"/>
      <c r="Y71" s="351"/>
      <c r="Z71" s="289"/>
      <c r="AA71" s="324"/>
      <c r="AB71" s="326"/>
      <c r="AC71" s="326"/>
      <c r="AD71" s="326"/>
      <c r="AE71" s="324"/>
      <c r="AF71" s="313"/>
      <c r="AG71" s="313"/>
      <c r="AH71" s="329"/>
      <c r="AI71" s="330"/>
      <c r="AJ71" s="313"/>
      <c r="AK71" s="331"/>
      <c r="AL71" s="364"/>
      <c r="AM71" s="405"/>
      <c r="AN71" s="332"/>
      <c r="AO71" s="332"/>
      <c r="AP71" s="395"/>
      <c r="AQ71" s="328"/>
      <c r="AR71" s="328"/>
      <c r="AS71" s="328"/>
      <c r="AT71" s="385"/>
      <c r="AU71" s="333"/>
      <c r="AV71" s="333"/>
      <c r="AW71" s="333"/>
      <c r="AX71" s="315"/>
      <c r="AY71" s="315"/>
      <c r="AZ71" s="315"/>
      <c r="BA71" s="315"/>
      <c r="BB71" s="315"/>
      <c r="BC71" s="378"/>
      <c r="BD71" s="379"/>
    </row>
    <row r="72" spans="1:56" s="334" customFormat="1" ht="24" customHeight="1">
      <c r="A72" s="313"/>
      <c r="B72" s="317"/>
      <c r="C72" s="288"/>
      <c r="D72" s="315"/>
      <c r="E72" s="318"/>
      <c r="F72" s="318"/>
      <c r="G72" s="318"/>
      <c r="H72" s="350"/>
      <c r="I72" s="350"/>
      <c r="J72" s="313"/>
      <c r="K72" s="313"/>
      <c r="L72" s="347"/>
      <c r="M72" s="347"/>
      <c r="N72" s="332"/>
      <c r="O72" s="315"/>
      <c r="P72" s="344"/>
      <c r="Q72" s="322"/>
      <c r="R72" s="323"/>
      <c r="S72" s="322"/>
      <c r="T72" s="323"/>
      <c r="U72" s="323"/>
      <c r="V72" s="288"/>
      <c r="W72" s="289"/>
      <c r="X72" s="340"/>
      <c r="Y72" s="351"/>
      <c r="Z72" s="289"/>
      <c r="AA72" s="324"/>
      <c r="AB72" s="326"/>
      <c r="AC72" s="326"/>
      <c r="AD72" s="326"/>
      <c r="AE72" s="324"/>
      <c r="AF72" s="313"/>
      <c r="AG72" s="313"/>
      <c r="AH72" s="332"/>
      <c r="AI72" s="330"/>
      <c r="AJ72" s="313"/>
      <c r="AK72" s="331"/>
      <c r="AL72" s="364"/>
      <c r="AM72" s="405"/>
      <c r="AN72" s="332"/>
      <c r="AO72" s="332"/>
      <c r="AP72" s="395"/>
      <c r="AQ72" s="328"/>
      <c r="AR72" s="328"/>
      <c r="AS72" s="328"/>
      <c r="AT72" s="385"/>
      <c r="AU72" s="333"/>
      <c r="AV72" s="333"/>
      <c r="AW72" s="333"/>
      <c r="AX72" s="315"/>
      <c r="AY72" s="315"/>
      <c r="AZ72" s="315"/>
      <c r="BA72" s="315"/>
      <c r="BB72" s="315"/>
      <c r="BC72" s="378"/>
      <c r="BD72" s="379"/>
    </row>
    <row r="73" spans="1:56" s="334" customFormat="1" ht="24" customHeight="1">
      <c r="A73" s="313"/>
      <c r="B73" s="317"/>
      <c r="C73" s="288"/>
      <c r="D73" s="315"/>
      <c r="E73" s="318"/>
      <c r="F73" s="318"/>
      <c r="G73" s="318"/>
      <c r="H73" s="350"/>
      <c r="I73" s="350"/>
      <c r="J73" s="313"/>
      <c r="K73" s="313"/>
      <c r="L73" s="347"/>
      <c r="M73" s="347"/>
      <c r="N73" s="332"/>
      <c r="O73" s="315"/>
      <c r="P73" s="344"/>
      <c r="Q73" s="322"/>
      <c r="R73" s="323"/>
      <c r="S73" s="322"/>
      <c r="T73" s="323"/>
      <c r="U73" s="323"/>
      <c r="V73" s="313"/>
      <c r="W73" s="289"/>
      <c r="X73" s="340"/>
      <c r="Y73" s="326"/>
      <c r="Z73" s="326"/>
      <c r="AA73" s="406"/>
      <c r="AB73" s="326"/>
      <c r="AC73" s="326"/>
      <c r="AD73" s="326"/>
      <c r="AE73" s="324"/>
      <c r="AF73" s="313"/>
      <c r="AG73" s="313"/>
      <c r="AH73" s="332"/>
      <c r="AI73" s="330"/>
      <c r="AJ73" s="313"/>
      <c r="AK73" s="331"/>
      <c r="AL73" s="364"/>
      <c r="AM73" s="387"/>
      <c r="AN73" s="332"/>
      <c r="AO73" s="332"/>
      <c r="AP73" s="360"/>
      <c r="AQ73" s="315"/>
      <c r="AR73" s="315"/>
      <c r="AS73" s="315"/>
      <c r="AT73" s="385"/>
      <c r="AU73" s="333"/>
      <c r="AV73" s="333"/>
      <c r="AW73" s="333"/>
      <c r="AX73" s="315"/>
      <c r="AY73" s="315"/>
      <c r="AZ73" s="315"/>
      <c r="BA73" s="315"/>
      <c r="BB73" s="315"/>
      <c r="BC73" s="378"/>
      <c r="BD73" s="379"/>
    </row>
    <row r="74" spans="1:56" s="334" customFormat="1" ht="24" customHeight="1">
      <c r="A74" s="313"/>
      <c r="B74" s="317"/>
      <c r="C74" s="288"/>
      <c r="D74" s="315"/>
      <c r="E74" s="318"/>
      <c r="F74" s="318"/>
      <c r="G74" s="318"/>
      <c r="H74" s="350"/>
      <c r="I74" s="350"/>
      <c r="J74" s="313"/>
      <c r="K74" s="313"/>
      <c r="L74" s="347"/>
      <c r="M74" s="347"/>
      <c r="N74" s="332"/>
      <c r="O74" s="315"/>
      <c r="P74" s="344"/>
      <c r="Q74" s="322"/>
      <c r="R74" s="323"/>
      <c r="S74" s="322"/>
      <c r="T74" s="323"/>
      <c r="U74" s="323"/>
      <c r="V74" s="313"/>
      <c r="W74" s="289"/>
      <c r="X74" s="340"/>
      <c r="Y74" s="326"/>
      <c r="Z74" s="326"/>
      <c r="AA74" s="406"/>
      <c r="AB74" s="326"/>
      <c r="AC74" s="326"/>
      <c r="AD74" s="326"/>
      <c r="AE74" s="324"/>
      <c r="AF74" s="313"/>
      <c r="AG74" s="313"/>
      <c r="AH74" s="332"/>
      <c r="AI74" s="330"/>
      <c r="AJ74" s="313"/>
      <c r="AK74" s="331"/>
      <c r="AL74" s="364"/>
      <c r="AM74" s="387"/>
      <c r="AN74" s="332"/>
      <c r="AO74" s="332"/>
      <c r="AP74" s="360"/>
      <c r="AQ74" s="315"/>
      <c r="AR74" s="315"/>
      <c r="AS74" s="315"/>
      <c r="AT74" s="385"/>
      <c r="AU74" s="333"/>
      <c r="AV74" s="333"/>
      <c r="AW74" s="333"/>
      <c r="AX74" s="315"/>
      <c r="AY74" s="315"/>
      <c r="AZ74" s="315"/>
      <c r="BA74" s="315"/>
      <c r="BB74" s="315"/>
      <c r="BC74" s="378"/>
      <c r="BD74" s="379"/>
    </row>
    <row r="75" spans="1:56" s="334" customFormat="1" ht="24" customHeight="1">
      <c r="A75" s="313"/>
      <c r="B75" s="317"/>
      <c r="C75" s="288"/>
      <c r="D75" s="315"/>
      <c r="E75" s="318"/>
      <c r="F75" s="318"/>
      <c r="G75" s="318"/>
      <c r="H75" s="350"/>
      <c r="I75" s="350"/>
      <c r="J75" s="313"/>
      <c r="K75" s="313"/>
      <c r="L75" s="347"/>
      <c r="M75" s="347"/>
      <c r="N75" s="332"/>
      <c r="O75" s="315"/>
      <c r="P75" s="322"/>
      <c r="Q75" s="323"/>
      <c r="R75" s="323"/>
      <c r="S75" s="322"/>
      <c r="T75" s="323"/>
      <c r="U75" s="323"/>
      <c r="V75" s="288"/>
      <c r="W75" s="289"/>
      <c r="X75" s="340"/>
      <c r="Y75" s="326"/>
      <c r="Z75" s="326"/>
      <c r="AA75" s="324"/>
      <c r="AB75" s="326"/>
      <c r="AC75" s="326"/>
      <c r="AD75" s="326"/>
      <c r="AE75" s="324"/>
      <c r="AF75" s="313"/>
      <c r="AG75" s="313"/>
      <c r="AH75" s="329"/>
      <c r="AI75" s="330"/>
      <c r="AJ75" s="313"/>
      <c r="AK75" s="331"/>
      <c r="AL75" s="364"/>
      <c r="AM75" s="405"/>
      <c r="AN75" s="332"/>
      <c r="AO75" s="332"/>
      <c r="AP75" s="395"/>
      <c r="AQ75" s="328"/>
      <c r="AR75" s="328"/>
      <c r="AS75" s="328"/>
      <c r="AT75" s="385"/>
      <c r="AU75" s="333"/>
      <c r="AV75" s="333"/>
      <c r="AW75" s="333"/>
      <c r="AX75" s="315"/>
      <c r="AY75" s="315"/>
      <c r="AZ75" s="315"/>
      <c r="BA75" s="315"/>
      <c r="BB75" s="315"/>
      <c r="BC75" s="378"/>
      <c r="BD75" s="379"/>
    </row>
    <row r="76" spans="1:56" s="334" customFormat="1" ht="24" customHeight="1">
      <c r="A76" s="313"/>
      <c r="B76" s="317"/>
      <c r="C76" s="288"/>
      <c r="D76" s="315"/>
      <c r="E76" s="318"/>
      <c r="F76" s="318"/>
      <c r="G76" s="318"/>
      <c r="H76" s="350"/>
      <c r="I76" s="350"/>
      <c r="J76" s="313"/>
      <c r="K76" s="313"/>
      <c r="L76" s="347"/>
      <c r="M76" s="347"/>
      <c r="N76" s="332"/>
      <c r="O76" s="315"/>
      <c r="P76" s="322"/>
      <c r="Q76" s="322"/>
      <c r="R76" s="323"/>
      <c r="S76" s="322"/>
      <c r="T76" s="323"/>
      <c r="U76" s="323"/>
      <c r="V76" s="288"/>
      <c r="W76" s="289"/>
      <c r="X76" s="340"/>
      <c r="Y76" s="326"/>
      <c r="Z76" s="326"/>
      <c r="AA76" s="324"/>
      <c r="AB76" s="326"/>
      <c r="AC76" s="326"/>
      <c r="AD76" s="326"/>
      <c r="AE76" s="324"/>
      <c r="AF76" s="313"/>
      <c r="AG76" s="313"/>
      <c r="AH76" s="332"/>
      <c r="AI76" s="330"/>
      <c r="AJ76" s="313"/>
      <c r="AK76" s="331"/>
      <c r="AL76" s="364"/>
      <c r="AM76" s="405"/>
      <c r="AN76" s="332"/>
      <c r="AO76" s="332"/>
      <c r="AP76" s="395"/>
      <c r="AQ76" s="328"/>
      <c r="AR76" s="328"/>
      <c r="AS76" s="328"/>
      <c r="AT76" s="385"/>
      <c r="AU76" s="333"/>
      <c r="AV76" s="333"/>
      <c r="AW76" s="333"/>
      <c r="AX76" s="315"/>
      <c r="AY76" s="315"/>
      <c r="AZ76" s="315"/>
      <c r="BA76" s="315"/>
      <c r="BB76" s="315"/>
      <c r="BC76" s="378"/>
      <c r="BD76" s="379"/>
    </row>
    <row r="77" spans="1:56" s="334" customFormat="1" ht="24" customHeight="1">
      <c r="A77" s="313"/>
      <c r="B77" s="317"/>
      <c r="C77" s="288"/>
      <c r="D77" s="315"/>
      <c r="E77" s="408"/>
      <c r="F77" s="318"/>
      <c r="G77" s="318"/>
      <c r="H77" s="350"/>
      <c r="I77" s="350"/>
      <c r="J77" s="313"/>
      <c r="K77" s="313"/>
      <c r="L77" s="347"/>
      <c r="M77" s="347"/>
      <c r="N77" s="332"/>
      <c r="O77" s="315"/>
      <c r="P77" s="322"/>
      <c r="Q77" s="322"/>
      <c r="R77" s="323"/>
      <c r="S77" s="322"/>
      <c r="T77" s="323"/>
      <c r="U77" s="323"/>
      <c r="V77" s="313"/>
      <c r="W77" s="289"/>
      <c r="X77" s="340"/>
      <c r="Y77" s="326"/>
      <c r="Z77" s="326"/>
      <c r="AA77" s="406"/>
      <c r="AB77" s="326"/>
      <c r="AC77" s="326"/>
      <c r="AD77" s="326"/>
      <c r="AE77" s="324"/>
      <c r="AF77" s="313"/>
      <c r="AG77" s="313"/>
      <c r="AH77" s="332"/>
      <c r="AI77" s="330"/>
      <c r="AJ77" s="313"/>
      <c r="AK77" s="331"/>
      <c r="AL77" s="364"/>
      <c r="AM77" s="313"/>
      <c r="AN77" s="332"/>
      <c r="AO77" s="332"/>
      <c r="AP77" s="360"/>
      <c r="AQ77" s="315"/>
      <c r="AR77" s="315"/>
      <c r="AS77" s="315"/>
      <c r="AT77" s="385"/>
      <c r="AU77" s="333"/>
      <c r="AV77" s="333"/>
      <c r="AW77" s="333"/>
      <c r="AX77" s="315"/>
      <c r="AY77" s="315"/>
      <c r="AZ77" s="315"/>
      <c r="BA77" s="315"/>
      <c r="BB77" s="315"/>
      <c r="BC77" s="378"/>
      <c r="BD77" s="379"/>
    </row>
    <row r="78" spans="1:56" s="334" customFormat="1" ht="24" customHeight="1">
      <c r="A78" s="313"/>
      <c r="B78" s="317"/>
      <c r="C78" s="288"/>
      <c r="D78" s="315"/>
      <c r="E78" s="318"/>
      <c r="F78" s="318"/>
      <c r="G78" s="318"/>
      <c r="H78" s="350"/>
      <c r="I78" s="350"/>
      <c r="J78" s="313"/>
      <c r="K78" s="313"/>
      <c r="L78" s="347"/>
      <c r="M78" s="347"/>
      <c r="N78" s="332"/>
      <c r="O78" s="315"/>
      <c r="P78" s="322"/>
      <c r="Q78" s="322"/>
      <c r="R78" s="323"/>
      <c r="S78" s="322"/>
      <c r="T78" s="323"/>
      <c r="U78" s="323"/>
      <c r="V78" s="313"/>
      <c r="W78" s="289"/>
      <c r="X78" s="340"/>
      <c r="Y78" s="326"/>
      <c r="Z78" s="326"/>
      <c r="AA78" s="406"/>
      <c r="AB78" s="326"/>
      <c r="AC78" s="326"/>
      <c r="AD78" s="326"/>
      <c r="AE78" s="324"/>
      <c r="AF78" s="313"/>
      <c r="AG78" s="313"/>
      <c r="AH78" s="332"/>
      <c r="AI78" s="330"/>
      <c r="AJ78" s="313"/>
      <c r="AK78" s="331"/>
      <c r="AL78" s="364"/>
      <c r="AM78" s="313"/>
      <c r="AN78" s="332"/>
      <c r="AO78" s="332"/>
      <c r="AP78" s="360"/>
      <c r="AQ78" s="315"/>
      <c r="AR78" s="315"/>
      <c r="AS78" s="315"/>
      <c r="AT78" s="385"/>
      <c r="AU78" s="333"/>
      <c r="AV78" s="333"/>
      <c r="AW78" s="333"/>
      <c r="AX78" s="315"/>
      <c r="AY78" s="315"/>
      <c r="AZ78" s="315"/>
      <c r="BA78" s="315"/>
      <c r="BB78" s="315"/>
      <c r="BC78" s="378"/>
      <c r="BD78" s="379"/>
    </row>
    <row r="79" spans="1:56" s="334" customFormat="1" ht="24" customHeight="1">
      <c r="A79" s="313"/>
      <c r="B79" s="317"/>
      <c r="C79" s="288"/>
      <c r="D79" s="315"/>
      <c r="E79" s="341"/>
      <c r="F79" s="318"/>
      <c r="G79" s="354"/>
      <c r="H79" s="350"/>
      <c r="I79" s="350"/>
      <c r="J79" s="313"/>
      <c r="K79" s="313"/>
      <c r="L79" s="347"/>
      <c r="M79" s="347"/>
      <c r="N79" s="332"/>
      <c r="O79" s="315"/>
      <c r="P79" s="344"/>
      <c r="Q79" s="322"/>
      <c r="R79" s="323"/>
      <c r="S79" s="322"/>
      <c r="T79" s="323"/>
      <c r="U79" s="323"/>
      <c r="V79" s="313"/>
      <c r="W79" s="289"/>
      <c r="X79" s="340"/>
      <c r="Y79" s="326"/>
      <c r="Z79" s="326"/>
      <c r="AA79" s="318"/>
      <c r="AB79" s="326"/>
      <c r="AC79" s="326"/>
      <c r="AD79" s="325"/>
      <c r="AE79" s="324"/>
      <c r="AF79" s="313"/>
      <c r="AG79" s="197"/>
      <c r="AH79" s="332"/>
      <c r="AI79" s="330"/>
      <c r="AJ79" s="313"/>
      <c r="AK79" s="331"/>
      <c r="AL79" s="364"/>
      <c r="AM79" s="313"/>
      <c r="AN79" s="332"/>
      <c r="AO79" s="332"/>
      <c r="AP79" s="360"/>
      <c r="AQ79" s="315"/>
      <c r="AR79" s="315"/>
      <c r="AS79" s="315"/>
      <c r="AT79" s="385"/>
      <c r="AU79" s="333"/>
      <c r="AV79" s="333"/>
      <c r="AW79" s="333"/>
      <c r="AX79" s="315"/>
      <c r="AY79" s="315"/>
      <c r="AZ79" s="315"/>
      <c r="BA79" s="315"/>
      <c r="BB79" s="315"/>
    </row>
    <row r="80" spans="1:56" s="334" customFormat="1" ht="24" customHeight="1">
      <c r="A80" s="313"/>
      <c r="B80" s="317"/>
      <c r="C80" s="288"/>
      <c r="D80" s="315"/>
      <c r="E80" s="341"/>
      <c r="F80" s="318"/>
      <c r="G80" s="354"/>
      <c r="H80" s="350"/>
      <c r="I80" s="350"/>
      <c r="J80" s="313"/>
      <c r="K80" s="313"/>
      <c r="L80" s="347"/>
      <c r="M80" s="347"/>
      <c r="N80" s="332"/>
      <c r="O80" s="315"/>
      <c r="P80" s="344"/>
      <c r="Q80" s="322"/>
      <c r="R80" s="323"/>
      <c r="S80" s="322"/>
      <c r="T80" s="323"/>
      <c r="U80" s="323"/>
      <c r="V80" s="313"/>
      <c r="W80" s="289"/>
      <c r="X80" s="340"/>
      <c r="Y80" s="326"/>
      <c r="Z80" s="326"/>
      <c r="AA80" s="318"/>
      <c r="AB80" s="326"/>
      <c r="AC80" s="326"/>
      <c r="AD80" s="325"/>
      <c r="AE80" s="324"/>
      <c r="AF80" s="313"/>
      <c r="AG80" s="197"/>
      <c r="AH80" s="332"/>
      <c r="AI80" s="330"/>
      <c r="AJ80" s="313"/>
      <c r="AK80" s="331"/>
      <c r="AL80" s="364"/>
      <c r="AM80" s="313"/>
      <c r="AN80" s="332"/>
      <c r="AO80" s="332"/>
      <c r="AP80" s="360"/>
      <c r="AQ80" s="315"/>
      <c r="AR80" s="315"/>
      <c r="AS80" s="315"/>
      <c r="AT80" s="385"/>
      <c r="AU80" s="333"/>
      <c r="AV80" s="333"/>
      <c r="AW80" s="333"/>
      <c r="AX80" s="315"/>
      <c r="AY80" s="315"/>
      <c r="AZ80" s="315"/>
      <c r="BA80" s="315"/>
      <c r="BB80" s="315"/>
    </row>
    <row r="81" spans="1:56" s="334" customFormat="1" ht="24" customHeight="1">
      <c r="A81" s="313"/>
      <c r="B81" s="317"/>
      <c r="C81" s="288"/>
      <c r="D81" s="315"/>
      <c r="E81" s="341"/>
      <c r="F81" s="318"/>
      <c r="G81" s="354"/>
      <c r="H81" s="350"/>
      <c r="I81" s="350"/>
      <c r="J81" s="313"/>
      <c r="K81" s="313"/>
      <c r="L81" s="347"/>
      <c r="M81" s="347"/>
      <c r="N81" s="332"/>
      <c r="O81" s="315"/>
      <c r="P81" s="344"/>
      <c r="Q81" s="322"/>
      <c r="R81" s="323"/>
      <c r="S81" s="322"/>
      <c r="T81" s="323"/>
      <c r="U81" s="323"/>
      <c r="V81" s="313"/>
      <c r="W81" s="289"/>
      <c r="X81" s="340"/>
      <c r="Y81" s="326"/>
      <c r="Z81" s="326"/>
      <c r="AA81" s="318"/>
      <c r="AB81" s="326"/>
      <c r="AC81" s="326"/>
      <c r="AD81" s="326"/>
      <c r="AE81" s="324"/>
      <c r="AF81" s="313"/>
      <c r="AG81" s="197"/>
      <c r="AH81" s="332"/>
      <c r="AI81" s="330"/>
      <c r="AJ81" s="313"/>
      <c r="AK81" s="331"/>
      <c r="AL81" s="364"/>
      <c r="AM81" s="313"/>
      <c r="AN81" s="332"/>
      <c r="AO81" s="332"/>
      <c r="AP81" s="360"/>
      <c r="AQ81" s="315"/>
      <c r="AR81" s="315"/>
      <c r="AS81" s="315"/>
      <c r="AT81" s="385"/>
      <c r="AU81" s="333"/>
      <c r="AV81" s="333"/>
      <c r="AW81" s="333"/>
      <c r="AX81" s="315"/>
      <c r="AY81" s="315"/>
      <c r="AZ81" s="315"/>
      <c r="BA81" s="315"/>
      <c r="BB81" s="315"/>
    </row>
    <row r="82" spans="1:56" s="334" customFormat="1" ht="24" customHeight="1">
      <c r="A82" s="313"/>
      <c r="B82" s="317"/>
      <c r="C82" s="288"/>
      <c r="D82" s="315"/>
      <c r="E82" s="341"/>
      <c r="F82" s="318"/>
      <c r="G82" s="354"/>
      <c r="H82" s="350"/>
      <c r="I82" s="350"/>
      <c r="J82" s="313"/>
      <c r="K82" s="313"/>
      <c r="L82" s="347"/>
      <c r="M82" s="347"/>
      <c r="N82" s="332"/>
      <c r="O82" s="315"/>
      <c r="P82" s="344"/>
      <c r="Q82" s="322"/>
      <c r="R82" s="323"/>
      <c r="S82" s="322"/>
      <c r="T82" s="323"/>
      <c r="U82" s="323"/>
      <c r="V82" s="313"/>
      <c r="W82" s="289"/>
      <c r="X82" s="340"/>
      <c r="Y82" s="326"/>
      <c r="Z82" s="326"/>
      <c r="AA82" s="318"/>
      <c r="AB82" s="326"/>
      <c r="AC82" s="326"/>
      <c r="AD82" s="326"/>
      <c r="AE82" s="324"/>
      <c r="AF82" s="313"/>
      <c r="AG82" s="197"/>
      <c r="AH82" s="332"/>
      <c r="AI82" s="330"/>
      <c r="AJ82" s="313"/>
      <c r="AK82" s="331"/>
      <c r="AL82" s="364"/>
      <c r="AM82" s="313"/>
      <c r="AN82" s="332"/>
      <c r="AO82" s="332"/>
      <c r="AP82" s="360"/>
      <c r="AQ82" s="315"/>
      <c r="AR82" s="315"/>
      <c r="AS82" s="315"/>
      <c r="AT82" s="385"/>
      <c r="AU82" s="333"/>
      <c r="AV82" s="333"/>
      <c r="AW82" s="333"/>
      <c r="AX82" s="315"/>
      <c r="AY82" s="315"/>
      <c r="AZ82" s="315"/>
      <c r="BA82" s="315"/>
      <c r="BB82" s="315"/>
    </row>
    <row r="83" spans="1:56" s="334" customFormat="1" ht="24" customHeight="1">
      <c r="A83" s="313"/>
      <c r="B83" s="317"/>
      <c r="C83" s="288"/>
      <c r="D83" s="315"/>
      <c r="E83" s="341"/>
      <c r="F83" s="318"/>
      <c r="G83" s="354"/>
      <c r="H83" s="350"/>
      <c r="I83" s="350"/>
      <c r="J83" s="313"/>
      <c r="K83" s="313"/>
      <c r="L83" s="347"/>
      <c r="M83" s="347"/>
      <c r="N83" s="332"/>
      <c r="O83" s="315"/>
      <c r="P83" s="344"/>
      <c r="Q83" s="322"/>
      <c r="R83" s="323"/>
      <c r="S83" s="322"/>
      <c r="T83" s="323"/>
      <c r="U83" s="323"/>
      <c r="V83" s="313"/>
      <c r="W83" s="289"/>
      <c r="X83" s="340"/>
      <c r="Y83" s="326"/>
      <c r="Z83" s="326"/>
      <c r="AA83" s="318"/>
      <c r="AB83" s="326"/>
      <c r="AC83" s="326"/>
      <c r="AD83" s="325"/>
      <c r="AE83" s="324"/>
      <c r="AF83" s="313"/>
      <c r="AG83" s="197"/>
      <c r="AH83" s="332"/>
      <c r="AI83" s="330"/>
      <c r="AJ83" s="313"/>
      <c r="AK83" s="331"/>
      <c r="AL83" s="364"/>
      <c r="AM83" s="313"/>
      <c r="AN83" s="332"/>
      <c r="AO83" s="332"/>
      <c r="AP83" s="360"/>
      <c r="AQ83" s="315"/>
      <c r="AR83" s="315"/>
      <c r="AS83" s="315"/>
      <c r="AT83" s="385"/>
      <c r="AU83" s="333"/>
      <c r="AV83" s="333"/>
      <c r="AW83" s="333"/>
      <c r="AX83" s="315"/>
      <c r="AY83" s="315"/>
      <c r="AZ83" s="315"/>
      <c r="BA83" s="315"/>
      <c r="BB83" s="315"/>
    </row>
    <row r="84" spans="1:56" s="334" customFormat="1" ht="24" customHeight="1">
      <c r="A84" s="313"/>
      <c r="B84" s="317"/>
      <c r="C84" s="318"/>
      <c r="D84" s="315"/>
      <c r="E84" s="341"/>
      <c r="F84" s="335"/>
      <c r="G84" s="342"/>
      <c r="H84" s="350"/>
      <c r="I84" s="350"/>
      <c r="J84" s="313"/>
      <c r="K84" s="313"/>
      <c r="L84" s="343"/>
      <c r="M84" s="343"/>
      <c r="N84" s="321"/>
      <c r="O84" s="315"/>
      <c r="P84" s="344"/>
      <c r="Q84" s="323"/>
      <c r="R84" s="323"/>
      <c r="S84" s="322"/>
      <c r="T84" s="323"/>
      <c r="U84" s="323"/>
      <c r="V84" s="288"/>
      <c r="W84" s="289"/>
      <c r="X84" s="340"/>
      <c r="Y84" s="289"/>
      <c r="Z84" s="289"/>
      <c r="AA84" s="324"/>
      <c r="AB84" s="326"/>
      <c r="AC84" s="326"/>
      <c r="AD84" s="326"/>
      <c r="AE84" s="324"/>
      <c r="AF84" s="313"/>
      <c r="AG84" s="197"/>
      <c r="AH84" s="345"/>
      <c r="AI84" s="330"/>
      <c r="AJ84" s="313"/>
      <c r="AK84" s="331"/>
      <c r="AL84" s="364"/>
      <c r="AM84" s="313"/>
      <c r="AN84" s="332"/>
      <c r="AO84" s="332"/>
      <c r="AP84" s="369"/>
      <c r="AQ84" s="315"/>
      <c r="AR84" s="315"/>
      <c r="AS84" s="315"/>
      <c r="AT84" s="385"/>
      <c r="AU84" s="333"/>
      <c r="AV84" s="333"/>
      <c r="AW84" s="333"/>
      <c r="AX84" s="315"/>
      <c r="AY84" s="315"/>
      <c r="AZ84" s="315"/>
      <c r="BA84" s="315"/>
      <c r="BB84" s="315"/>
    </row>
    <row r="85" spans="1:56" s="334" customFormat="1" ht="24" customHeight="1">
      <c r="A85" s="313"/>
      <c r="B85" s="317"/>
      <c r="C85" s="318"/>
      <c r="D85" s="315"/>
      <c r="E85" s="341"/>
      <c r="F85" s="318"/>
      <c r="G85" s="354"/>
      <c r="H85" s="350"/>
      <c r="I85" s="350"/>
      <c r="J85" s="313"/>
      <c r="K85" s="313"/>
      <c r="L85" s="347"/>
      <c r="M85" s="347"/>
      <c r="N85" s="332"/>
      <c r="O85" s="315"/>
      <c r="P85" s="344"/>
      <c r="Q85" s="322"/>
      <c r="R85" s="323"/>
      <c r="S85" s="322"/>
      <c r="T85" s="323"/>
      <c r="U85" s="323"/>
      <c r="V85" s="288"/>
      <c r="W85" s="289"/>
      <c r="X85" s="340"/>
      <c r="Y85" s="289"/>
      <c r="Z85" s="289"/>
      <c r="AA85" s="324"/>
      <c r="AB85" s="326"/>
      <c r="AC85" s="326"/>
      <c r="AD85" s="325"/>
      <c r="AE85" s="324"/>
      <c r="AF85" s="313"/>
      <c r="AG85" s="197"/>
      <c r="AH85" s="332"/>
      <c r="AI85" s="330"/>
      <c r="AJ85" s="313"/>
      <c r="AK85" s="331"/>
      <c r="AL85" s="364"/>
      <c r="AM85" s="313"/>
      <c r="AN85" s="332"/>
      <c r="AO85" s="332"/>
      <c r="AP85" s="360"/>
      <c r="AQ85" s="315"/>
      <c r="AR85" s="315"/>
      <c r="AS85" s="315"/>
      <c r="AT85" s="385"/>
      <c r="AU85" s="333"/>
      <c r="AV85" s="333"/>
      <c r="AW85" s="333"/>
      <c r="AX85" s="315"/>
      <c r="AY85" s="315"/>
      <c r="AZ85" s="315"/>
      <c r="BA85" s="315"/>
      <c r="BB85" s="315"/>
    </row>
    <row r="86" spans="1:56" s="334" customFormat="1" ht="24" customHeight="1">
      <c r="A86" s="313"/>
      <c r="B86" s="317"/>
      <c r="C86" s="318"/>
      <c r="D86" s="315"/>
      <c r="E86" s="341"/>
      <c r="F86" s="318"/>
      <c r="G86" s="354"/>
      <c r="H86" s="350"/>
      <c r="I86" s="350"/>
      <c r="J86" s="313"/>
      <c r="K86" s="313"/>
      <c r="L86" s="347"/>
      <c r="M86" s="347"/>
      <c r="N86" s="332"/>
      <c r="O86" s="315"/>
      <c r="P86" s="344"/>
      <c r="Q86" s="322"/>
      <c r="R86" s="323"/>
      <c r="S86" s="322"/>
      <c r="T86" s="323"/>
      <c r="U86" s="323"/>
      <c r="V86" s="288"/>
      <c r="W86" s="289"/>
      <c r="X86" s="340"/>
      <c r="Y86" s="289"/>
      <c r="Z86" s="289"/>
      <c r="AA86" s="324"/>
      <c r="AB86" s="326"/>
      <c r="AC86" s="326"/>
      <c r="AD86" s="325"/>
      <c r="AE86" s="324"/>
      <c r="AF86" s="313"/>
      <c r="AG86" s="197"/>
      <c r="AH86" s="332"/>
      <c r="AI86" s="330"/>
      <c r="AJ86" s="313"/>
      <c r="AK86" s="331"/>
      <c r="AL86" s="364"/>
      <c r="AM86" s="313"/>
      <c r="AN86" s="332"/>
      <c r="AO86" s="332"/>
      <c r="AP86" s="360"/>
      <c r="AQ86" s="315"/>
      <c r="AR86" s="315"/>
      <c r="AS86" s="315"/>
      <c r="AT86" s="385"/>
      <c r="AU86" s="333"/>
      <c r="AV86" s="333"/>
      <c r="AW86" s="333"/>
      <c r="AX86" s="315"/>
      <c r="AY86" s="315"/>
      <c r="AZ86" s="315"/>
      <c r="BA86" s="315"/>
      <c r="BB86" s="315"/>
    </row>
    <row r="87" spans="1:56" s="334" customFormat="1" ht="24" customHeight="1">
      <c r="A87" s="313"/>
      <c r="B87" s="317"/>
      <c r="C87" s="318"/>
      <c r="D87" s="315"/>
      <c r="E87" s="318"/>
      <c r="F87" s="318"/>
      <c r="G87" s="318"/>
      <c r="H87" s="350"/>
      <c r="I87" s="350"/>
      <c r="J87" s="313"/>
      <c r="K87" s="313"/>
      <c r="L87" s="347"/>
      <c r="M87" s="347"/>
      <c r="N87" s="332"/>
      <c r="O87" s="315"/>
      <c r="P87" s="344"/>
      <c r="Q87" s="323"/>
      <c r="R87" s="323"/>
      <c r="S87" s="322"/>
      <c r="T87" s="323"/>
      <c r="U87" s="323"/>
      <c r="V87" s="288"/>
      <c r="W87" s="289"/>
      <c r="X87" s="340"/>
      <c r="Y87" s="289"/>
      <c r="Z87" s="289"/>
      <c r="AA87" s="324"/>
      <c r="AB87" s="326"/>
      <c r="AC87" s="326"/>
      <c r="AD87" s="326"/>
      <c r="AE87" s="324"/>
      <c r="AF87" s="313"/>
      <c r="AG87" s="197"/>
      <c r="AH87" s="329"/>
      <c r="AI87" s="330"/>
      <c r="AJ87" s="313"/>
      <c r="AK87" s="331"/>
      <c r="AL87" s="364"/>
      <c r="AM87" s="313"/>
      <c r="AN87" s="332"/>
      <c r="AO87" s="332"/>
      <c r="AP87" s="360"/>
      <c r="AQ87" s="315"/>
      <c r="AR87" s="315"/>
      <c r="AS87" s="315"/>
      <c r="AT87" s="385"/>
      <c r="AU87" s="333"/>
      <c r="AV87" s="333"/>
      <c r="AW87" s="333"/>
      <c r="AX87" s="315"/>
      <c r="AY87" s="315"/>
      <c r="AZ87" s="315"/>
      <c r="BA87" s="315"/>
      <c r="BB87" s="315"/>
    </row>
    <row r="88" spans="1:56" s="334" customFormat="1" ht="24" customHeight="1">
      <c r="A88" s="313"/>
      <c r="B88" s="317"/>
      <c r="C88" s="318"/>
      <c r="D88" s="315"/>
      <c r="E88" s="341"/>
      <c r="F88" s="355"/>
      <c r="G88" s="341"/>
      <c r="H88" s="350"/>
      <c r="I88" s="350"/>
      <c r="J88" s="313"/>
      <c r="K88" s="313"/>
      <c r="L88" s="347"/>
      <c r="M88" s="347"/>
      <c r="N88" s="332"/>
      <c r="O88" s="315"/>
      <c r="P88" s="344"/>
      <c r="Q88" s="323"/>
      <c r="R88" s="323"/>
      <c r="S88" s="322"/>
      <c r="T88" s="323"/>
      <c r="U88" s="323"/>
      <c r="V88" s="288"/>
      <c r="W88" s="289"/>
      <c r="X88" s="340"/>
      <c r="Y88" s="289"/>
      <c r="Z88" s="289"/>
      <c r="AA88" s="324"/>
      <c r="AB88" s="326"/>
      <c r="AC88" s="326"/>
      <c r="AD88" s="326"/>
      <c r="AE88" s="324"/>
      <c r="AF88" s="313"/>
      <c r="AG88" s="197"/>
      <c r="AH88" s="329"/>
      <c r="AI88" s="330"/>
      <c r="AJ88" s="313"/>
      <c r="AK88" s="331"/>
      <c r="AL88" s="364"/>
      <c r="AM88" s="313"/>
      <c r="AN88" s="332"/>
      <c r="AO88" s="332"/>
      <c r="AP88" s="360"/>
      <c r="AQ88" s="315"/>
      <c r="AR88" s="315"/>
      <c r="AS88" s="315"/>
      <c r="AT88" s="385"/>
      <c r="AU88" s="333"/>
      <c r="AV88" s="333"/>
      <c r="AW88" s="333"/>
      <c r="AX88" s="315"/>
      <c r="AY88" s="315"/>
      <c r="AZ88" s="315"/>
      <c r="BA88" s="315"/>
      <c r="BB88" s="315"/>
    </row>
    <row r="89" spans="1:56" s="334" customFormat="1" ht="24" customHeight="1">
      <c r="A89" s="313"/>
      <c r="B89" s="317"/>
      <c r="C89" s="318"/>
      <c r="D89" s="315"/>
      <c r="E89" s="340"/>
      <c r="F89" s="356"/>
      <c r="G89" s="340"/>
      <c r="H89" s="350"/>
      <c r="I89" s="350"/>
      <c r="J89" s="313"/>
      <c r="K89" s="313"/>
      <c r="L89" s="347"/>
      <c r="M89" s="347"/>
      <c r="N89" s="332"/>
      <c r="O89" s="315"/>
      <c r="P89" s="344"/>
      <c r="Q89" s="323"/>
      <c r="R89" s="323"/>
      <c r="S89" s="322"/>
      <c r="T89" s="323"/>
      <c r="U89" s="323"/>
      <c r="V89" s="288"/>
      <c r="W89" s="289"/>
      <c r="X89" s="340"/>
      <c r="Y89" s="289"/>
      <c r="Z89" s="289"/>
      <c r="AA89" s="324"/>
      <c r="AB89" s="326"/>
      <c r="AC89" s="326"/>
      <c r="AD89" s="326"/>
      <c r="AE89" s="324"/>
      <c r="AF89" s="313"/>
      <c r="AG89" s="197"/>
      <c r="AH89" s="329"/>
      <c r="AI89" s="330"/>
      <c r="AJ89" s="313"/>
      <c r="AK89" s="331"/>
      <c r="AL89" s="364"/>
      <c r="AM89" s="313"/>
      <c r="AN89" s="332"/>
      <c r="AO89" s="332"/>
      <c r="AP89" s="360"/>
      <c r="AQ89" s="315"/>
      <c r="AR89" s="315"/>
      <c r="AS89" s="315"/>
      <c r="AT89" s="385"/>
      <c r="AU89" s="333"/>
      <c r="AV89" s="333"/>
      <c r="AW89" s="333"/>
      <c r="AX89" s="315"/>
      <c r="AY89" s="315"/>
      <c r="AZ89" s="315"/>
      <c r="BA89" s="315"/>
      <c r="BB89" s="315"/>
      <c r="BD89" s="357"/>
    </row>
    <row r="90" spans="1:56" s="334" customFormat="1" ht="24" customHeight="1">
      <c r="A90" s="313"/>
      <c r="B90" s="317"/>
      <c r="C90" s="318"/>
      <c r="D90" s="315"/>
      <c r="E90" s="340"/>
      <c r="F90" s="356"/>
      <c r="G90" s="340"/>
      <c r="H90" s="350"/>
      <c r="I90" s="350"/>
      <c r="J90" s="313"/>
      <c r="K90" s="313"/>
      <c r="L90" s="347"/>
      <c r="M90" s="347"/>
      <c r="N90" s="332"/>
      <c r="O90" s="315"/>
      <c r="P90" s="322"/>
      <c r="Q90" s="323"/>
      <c r="R90" s="323"/>
      <c r="S90" s="322"/>
      <c r="T90" s="323"/>
      <c r="U90" s="323"/>
      <c r="V90" s="288"/>
      <c r="W90" s="289"/>
      <c r="X90" s="340"/>
      <c r="Y90" s="289"/>
      <c r="Z90" s="289"/>
      <c r="AA90" s="324"/>
      <c r="AB90" s="326"/>
      <c r="AC90" s="326"/>
      <c r="AD90" s="326"/>
      <c r="AE90" s="324"/>
      <c r="AF90" s="313"/>
      <c r="AG90" s="197"/>
      <c r="AH90" s="329"/>
      <c r="AI90" s="330"/>
      <c r="AJ90" s="313"/>
      <c r="AK90" s="331"/>
      <c r="AL90" s="364"/>
      <c r="AM90" s="313"/>
      <c r="AN90" s="332"/>
      <c r="AO90" s="332"/>
      <c r="AP90" s="395"/>
      <c r="AQ90" s="315"/>
      <c r="AR90" s="315"/>
      <c r="AS90" s="315"/>
      <c r="AT90" s="385"/>
      <c r="AU90" s="333"/>
      <c r="AV90" s="333"/>
      <c r="AW90" s="333"/>
      <c r="AX90" s="315"/>
      <c r="AY90" s="315"/>
      <c r="AZ90" s="315"/>
      <c r="BA90" s="315"/>
      <c r="BB90" s="315"/>
      <c r="BD90" s="358"/>
    </row>
    <row r="91" spans="1:56" s="334" customFormat="1" ht="24" customHeight="1">
      <c r="A91" s="313"/>
      <c r="B91" s="317"/>
      <c r="C91" s="318"/>
      <c r="D91" s="315"/>
      <c r="E91" s="288"/>
      <c r="F91" s="359"/>
      <c r="G91" s="288"/>
      <c r="H91" s="350"/>
      <c r="I91" s="350"/>
      <c r="J91" s="313"/>
      <c r="K91" s="313"/>
      <c r="L91" s="347"/>
      <c r="M91" s="347"/>
      <c r="N91" s="332"/>
      <c r="O91" s="315"/>
      <c r="P91" s="322"/>
      <c r="Q91" s="322"/>
      <c r="R91" s="323"/>
      <c r="S91" s="322"/>
      <c r="T91" s="323"/>
      <c r="U91" s="323"/>
      <c r="V91" s="288"/>
      <c r="W91" s="289"/>
      <c r="X91" s="340"/>
      <c r="Y91" s="289"/>
      <c r="Z91" s="289"/>
      <c r="AA91" s="324"/>
      <c r="AB91" s="326"/>
      <c r="AC91" s="326"/>
      <c r="AD91" s="325"/>
      <c r="AE91" s="324"/>
      <c r="AF91" s="313"/>
      <c r="AG91" s="197"/>
      <c r="AH91" s="332"/>
      <c r="AI91" s="330"/>
      <c r="AJ91" s="313"/>
      <c r="AK91" s="331"/>
      <c r="AL91" s="364"/>
      <c r="AM91" s="313"/>
      <c r="AN91" s="332"/>
      <c r="AO91" s="332"/>
      <c r="AP91" s="360"/>
      <c r="AQ91" s="315"/>
      <c r="AR91" s="315"/>
      <c r="AS91" s="315"/>
      <c r="AT91" s="385"/>
      <c r="AU91" s="333"/>
      <c r="AV91" s="333"/>
      <c r="AW91" s="333"/>
      <c r="AX91" s="315"/>
      <c r="AY91" s="315"/>
      <c r="AZ91" s="315"/>
      <c r="BA91" s="315"/>
      <c r="BB91" s="315"/>
    </row>
    <row r="92" spans="1:56" s="334" customFormat="1" ht="24" customHeight="1">
      <c r="A92" s="313"/>
      <c r="B92" s="317"/>
      <c r="C92" s="318"/>
      <c r="D92" s="315"/>
      <c r="E92" s="288"/>
      <c r="F92" s="359"/>
      <c r="G92" s="288"/>
      <c r="H92" s="350"/>
      <c r="I92" s="350"/>
      <c r="J92" s="313"/>
      <c r="K92" s="313"/>
      <c r="L92" s="347"/>
      <c r="M92" s="347"/>
      <c r="N92" s="332"/>
      <c r="O92" s="315"/>
      <c r="P92" s="322"/>
      <c r="Q92" s="322"/>
      <c r="R92" s="323"/>
      <c r="S92" s="322"/>
      <c r="T92" s="323"/>
      <c r="U92" s="323"/>
      <c r="V92" s="313"/>
      <c r="W92" s="289"/>
      <c r="X92" s="340"/>
      <c r="Y92" s="289"/>
      <c r="Z92" s="289"/>
      <c r="AA92" s="324"/>
      <c r="AB92" s="326"/>
      <c r="AC92" s="326"/>
      <c r="AD92" s="325"/>
      <c r="AE92" s="327"/>
      <c r="AF92" s="313"/>
      <c r="AG92" s="197"/>
      <c r="AH92" s="332"/>
      <c r="AI92" s="330"/>
      <c r="AJ92" s="313"/>
      <c r="AK92" s="331"/>
      <c r="AL92" s="364"/>
      <c r="AM92" s="313"/>
      <c r="AN92" s="332"/>
      <c r="AO92" s="332"/>
      <c r="AP92" s="395"/>
      <c r="AQ92" s="315"/>
      <c r="AR92" s="315"/>
      <c r="AS92" s="315"/>
      <c r="AT92" s="385"/>
      <c r="AU92" s="333"/>
      <c r="AV92" s="333"/>
      <c r="AW92" s="333"/>
      <c r="AX92" s="315"/>
      <c r="AY92" s="315"/>
      <c r="AZ92" s="315"/>
      <c r="BA92" s="315"/>
      <c r="BB92" s="315"/>
      <c r="BD92" s="349"/>
    </row>
    <row r="93" spans="1:56" s="334" customFormat="1" ht="24" customHeight="1">
      <c r="A93" s="313"/>
      <c r="B93" s="317"/>
      <c r="C93" s="318"/>
      <c r="D93" s="315"/>
      <c r="E93" s="288"/>
      <c r="F93" s="359"/>
      <c r="G93" s="288"/>
      <c r="H93" s="350"/>
      <c r="I93" s="350"/>
      <c r="J93" s="313"/>
      <c r="K93" s="313"/>
      <c r="L93" s="347"/>
      <c r="M93" s="347"/>
      <c r="N93" s="332"/>
      <c r="O93" s="315"/>
      <c r="P93" s="322"/>
      <c r="Q93" s="322"/>
      <c r="R93" s="323"/>
      <c r="S93" s="322"/>
      <c r="T93" s="323"/>
      <c r="U93" s="323"/>
      <c r="V93" s="313"/>
      <c r="W93" s="289"/>
      <c r="X93" s="340"/>
      <c r="Y93" s="289"/>
      <c r="Z93" s="289"/>
      <c r="AA93" s="324"/>
      <c r="AB93" s="326"/>
      <c r="AC93" s="326"/>
      <c r="AD93" s="325"/>
      <c r="AE93" s="327"/>
      <c r="AF93" s="313"/>
      <c r="AG93" s="197"/>
      <c r="AH93" s="332"/>
      <c r="AI93" s="330"/>
      <c r="AJ93" s="313"/>
      <c r="AK93" s="331"/>
      <c r="AL93" s="364"/>
      <c r="AM93" s="313"/>
      <c r="AN93" s="332"/>
      <c r="AO93" s="332"/>
      <c r="AP93" s="395"/>
      <c r="AQ93" s="315"/>
      <c r="AR93" s="315"/>
      <c r="AS93" s="315"/>
      <c r="AT93" s="385"/>
      <c r="AU93" s="333"/>
      <c r="AV93" s="333"/>
      <c r="AW93" s="333"/>
      <c r="AX93" s="315"/>
      <c r="AY93" s="315"/>
      <c r="AZ93" s="315"/>
      <c r="BA93" s="315"/>
      <c r="BB93" s="315"/>
    </row>
    <row r="94" spans="1:56" s="334" customFormat="1" ht="24" customHeight="1">
      <c r="A94" s="313"/>
      <c r="B94" s="317"/>
      <c r="C94" s="318"/>
      <c r="D94" s="315"/>
      <c r="E94" s="288"/>
      <c r="F94" s="359"/>
      <c r="G94" s="288"/>
      <c r="H94" s="350"/>
      <c r="I94" s="350"/>
      <c r="J94" s="313"/>
      <c r="K94" s="313"/>
      <c r="L94" s="347"/>
      <c r="M94" s="347"/>
      <c r="N94" s="332"/>
      <c r="O94" s="315"/>
      <c r="P94" s="322"/>
      <c r="Q94" s="322"/>
      <c r="R94" s="323"/>
      <c r="S94" s="322"/>
      <c r="T94" s="323"/>
      <c r="U94" s="323"/>
      <c r="V94" s="313"/>
      <c r="W94" s="289"/>
      <c r="X94" s="340"/>
      <c r="Y94" s="289"/>
      <c r="Z94" s="289"/>
      <c r="AA94" s="324"/>
      <c r="AB94" s="326"/>
      <c r="AC94" s="326"/>
      <c r="AD94" s="325"/>
      <c r="AE94" s="327"/>
      <c r="AF94" s="313"/>
      <c r="AG94" s="197"/>
      <c r="AH94" s="332"/>
      <c r="AI94" s="330"/>
      <c r="AJ94" s="313"/>
      <c r="AK94" s="331"/>
      <c r="AL94" s="364"/>
      <c r="AM94" s="313"/>
      <c r="AN94" s="332"/>
      <c r="AO94" s="332"/>
      <c r="AP94" s="395"/>
      <c r="AQ94" s="315"/>
      <c r="AR94" s="315"/>
      <c r="AS94" s="315"/>
      <c r="AT94" s="385"/>
      <c r="AU94" s="333"/>
      <c r="AV94" s="333"/>
      <c r="AW94" s="333"/>
      <c r="AX94" s="315"/>
      <c r="AY94" s="315"/>
      <c r="AZ94" s="315"/>
      <c r="BA94" s="315"/>
      <c r="BB94" s="315"/>
      <c r="BD94" s="349"/>
    </row>
    <row r="95" spans="1:56" s="334" customFormat="1" ht="24" customHeight="1">
      <c r="A95" s="313"/>
      <c r="B95" s="317"/>
      <c r="C95" s="318"/>
      <c r="D95" s="315"/>
      <c r="E95" s="288"/>
      <c r="F95" s="359"/>
      <c r="G95" s="288"/>
      <c r="H95" s="350"/>
      <c r="I95" s="350"/>
      <c r="J95" s="313"/>
      <c r="K95" s="313"/>
      <c r="L95" s="347"/>
      <c r="M95" s="347"/>
      <c r="N95" s="332"/>
      <c r="O95" s="315"/>
      <c r="P95" s="322"/>
      <c r="Q95" s="322"/>
      <c r="R95" s="323"/>
      <c r="S95" s="322"/>
      <c r="T95" s="323"/>
      <c r="U95" s="323"/>
      <c r="V95" s="313"/>
      <c r="W95" s="289"/>
      <c r="X95" s="340"/>
      <c r="Y95" s="289"/>
      <c r="Z95" s="289"/>
      <c r="AA95" s="324"/>
      <c r="AB95" s="326"/>
      <c r="AC95" s="326"/>
      <c r="AD95" s="325"/>
      <c r="AE95" s="327"/>
      <c r="AF95" s="313"/>
      <c r="AG95" s="197"/>
      <c r="AH95" s="332"/>
      <c r="AI95" s="330"/>
      <c r="AJ95" s="313"/>
      <c r="AK95" s="331"/>
      <c r="AL95" s="364"/>
      <c r="AM95" s="313"/>
      <c r="AN95" s="332"/>
      <c r="AO95" s="332"/>
      <c r="AP95" s="395"/>
      <c r="AQ95" s="315"/>
      <c r="AR95" s="315"/>
      <c r="AS95" s="315"/>
      <c r="AT95" s="385"/>
      <c r="AU95" s="333"/>
      <c r="AV95" s="333"/>
      <c r="AW95" s="333"/>
      <c r="AX95" s="315"/>
      <c r="AY95" s="315"/>
      <c r="AZ95" s="315"/>
      <c r="BA95" s="315"/>
      <c r="BB95" s="315"/>
    </row>
    <row r="96" spans="1:56" s="334" customFormat="1" ht="24" customHeight="1">
      <c r="A96" s="313"/>
      <c r="B96" s="317"/>
      <c r="C96" s="318"/>
      <c r="D96" s="315"/>
      <c r="E96" s="288"/>
      <c r="F96" s="359"/>
      <c r="G96" s="288"/>
      <c r="H96" s="350"/>
      <c r="I96" s="350"/>
      <c r="J96" s="313"/>
      <c r="K96" s="313"/>
      <c r="L96" s="347"/>
      <c r="M96" s="347"/>
      <c r="N96" s="332"/>
      <c r="O96" s="315"/>
      <c r="P96" s="322"/>
      <c r="Q96" s="322"/>
      <c r="R96" s="323"/>
      <c r="S96" s="322"/>
      <c r="T96" s="323"/>
      <c r="U96" s="323"/>
      <c r="V96" s="313"/>
      <c r="W96" s="289"/>
      <c r="X96" s="340"/>
      <c r="Y96" s="289"/>
      <c r="Z96" s="289"/>
      <c r="AA96" s="324"/>
      <c r="AB96" s="326"/>
      <c r="AC96" s="326"/>
      <c r="AD96" s="325"/>
      <c r="AE96" s="327"/>
      <c r="AF96" s="313"/>
      <c r="AG96" s="197"/>
      <c r="AH96" s="332"/>
      <c r="AI96" s="330"/>
      <c r="AJ96" s="313"/>
      <c r="AK96" s="331"/>
      <c r="AL96" s="364"/>
      <c r="AM96" s="313"/>
      <c r="AN96" s="332"/>
      <c r="AO96" s="332"/>
      <c r="AP96" s="395"/>
      <c r="AQ96" s="315"/>
      <c r="AR96" s="315"/>
      <c r="AS96" s="315"/>
      <c r="AT96" s="385"/>
      <c r="AU96" s="333"/>
      <c r="AV96" s="333"/>
      <c r="AW96" s="333"/>
      <c r="AX96" s="315"/>
      <c r="AY96" s="315"/>
      <c r="AZ96" s="315"/>
      <c r="BA96" s="315"/>
      <c r="BB96" s="315"/>
    </row>
    <row r="97" spans="1:56" s="334" customFormat="1" ht="24" customHeight="1">
      <c r="A97" s="313"/>
      <c r="B97" s="317"/>
      <c r="C97" s="318"/>
      <c r="D97" s="315"/>
      <c r="E97" s="341"/>
      <c r="F97" s="318"/>
      <c r="G97" s="342"/>
      <c r="H97" s="350"/>
      <c r="I97" s="350"/>
      <c r="J97" s="313"/>
      <c r="K97" s="313"/>
      <c r="L97" s="347"/>
      <c r="M97" s="347"/>
      <c r="N97" s="332"/>
      <c r="O97" s="315"/>
      <c r="P97" s="344"/>
      <c r="Q97" s="323"/>
      <c r="R97" s="323"/>
      <c r="S97" s="322"/>
      <c r="T97" s="323"/>
      <c r="U97" s="323"/>
      <c r="V97" s="313"/>
      <c r="W97" s="289"/>
      <c r="X97" s="340"/>
      <c r="Y97" s="289"/>
      <c r="Z97" s="289"/>
      <c r="AA97" s="324"/>
      <c r="AB97" s="326"/>
      <c r="AC97" s="326"/>
      <c r="AD97" s="326"/>
      <c r="AE97" s="327"/>
      <c r="AF97" s="313"/>
      <c r="AG97" s="197"/>
      <c r="AH97" s="315"/>
      <c r="AI97" s="330"/>
      <c r="AJ97" s="313"/>
      <c r="AK97" s="331"/>
      <c r="AL97" s="364"/>
      <c r="AM97" s="313"/>
      <c r="AN97" s="332"/>
      <c r="AO97" s="332"/>
      <c r="AP97" s="395"/>
      <c r="AQ97" s="315"/>
      <c r="AR97" s="315"/>
      <c r="AS97" s="315"/>
      <c r="AT97" s="385"/>
      <c r="AU97" s="333"/>
      <c r="AV97" s="333"/>
      <c r="AW97" s="333"/>
      <c r="AX97" s="315"/>
      <c r="AY97" s="315"/>
      <c r="AZ97" s="315"/>
      <c r="BA97" s="315"/>
      <c r="BB97" s="315"/>
    </row>
    <row r="98" spans="1:56" s="334" customFormat="1" ht="24" customHeight="1">
      <c r="A98" s="313"/>
      <c r="B98" s="317"/>
      <c r="C98" s="318"/>
      <c r="D98" s="315"/>
      <c r="E98" s="341"/>
      <c r="F98" s="318"/>
      <c r="G98" s="342"/>
      <c r="H98" s="350"/>
      <c r="I98" s="350"/>
      <c r="J98" s="313"/>
      <c r="K98" s="313"/>
      <c r="L98" s="347"/>
      <c r="M98" s="347"/>
      <c r="N98" s="332"/>
      <c r="O98" s="315"/>
      <c r="P98" s="344"/>
      <c r="Q98" s="323"/>
      <c r="R98" s="323"/>
      <c r="S98" s="322"/>
      <c r="T98" s="323"/>
      <c r="U98" s="323"/>
      <c r="V98" s="313"/>
      <c r="W98" s="289"/>
      <c r="X98" s="340"/>
      <c r="Y98" s="289"/>
      <c r="Z98" s="289"/>
      <c r="AA98" s="324"/>
      <c r="AB98" s="326"/>
      <c r="AC98" s="326"/>
      <c r="AD98" s="326"/>
      <c r="AE98" s="327"/>
      <c r="AF98" s="313"/>
      <c r="AG98" s="197"/>
      <c r="AH98" s="315"/>
      <c r="AI98" s="330"/>
      <c r="AJ98" s="313"/>
      <c r="AK98" s="331"/>
      <c r="AL98" s="364"/>
      <c r="AM98" s="313"/>
      <c r="AN98" s="332"/>
      <c r="AO98" s="332"/>
      <c r="AP98" s="360"/>
      <c r="AQ98" s="315"/>
      <c r="AR98" s="315"/>
      <c r="AS98" s="315"/>
      <c r="AT98" s="385"/>
      <c r="AU98" s="333"/>
      <c r="AV98" s="333"/>
      <c r="AW98" s="333"/>
      <c r="AX98" s="315"/>
      <c r="AY98" s="315"/>
      <c r="AZ98" s="315"/>
      <c r="BA98" s="315"/>
      <c r="BB98" s="315"/>
    </row>
    <row r="99" spans="1:56" s="334" customFormat="1" ht="24" customHeight="1">
      <c r="A99" s="313"/>
      <c r="B99" s="317"/>
      <c r="C99" s="318"/>
      <c r="D99" s="315"/>
      <c r="E99" s="288"/>
      <c r="F99" s="359"/>
      <c r="G99" s="288"/>
      <c r="H99" s="350"/>
      <c r="I99" s="350"/>
      <c r="J99" s="313"/>
      <c r="K99" s="313"/>
      <c r="L99" s="347"/>
      <c r="M99" s="347"/>
      <c r="N99" s="332"/>
      <c r="O99" s="315"/>
      <c r="P99" s="322"/>
      <c r="Q99" s="322"/>
      <c r="R99" s="323"/>
      <c r="S99" s="322"/>
      <c r="T99" s="323"/>
      <c r="U99" s="323"/>
      <c r="V99" s="313"/>
      <c r="W99" s="289"/>
      <c r="X99" s="340"/>
      <c r="Y99" s="289"/>
      <c r="Z99" s="289"/>
      <c r="AA99" s="324"/>
      <c r="AB99" s="326"/>
      <c r="AC99" s="326"/>
      <c r="AD99" s="325"/>
      <c r="AE99" s="327"/>
      <c r="AF99" s="313"/>
      <c r="AG99" s="197"/>
      <c r="AH99" s="332"/>
      <c r="AI99" s="330"/>
      <c r="AJ99" s="313"/>
      <c r="AK99" s="331"/>
      <c r="AL99" s="364"/>
      <c r="AM99" s="313"/>
      <c r="AN99" s="332"/>
      <c r="AO99" s="332"/>
      <c r="AP99" s="395"/>
      <c r="AQ99" s="315"/>
      <c r="AR99" s="315"/>
      <c r="AS99" s="315"/>
      <c r="AT99" s="385"/>
      <c r="AU99" s="333"/>
      <c r="AV99" s="333"/>
      <c r="AW99" s="333"/>
      <c r="AX99" s="315"/>
      <c r="AY99" s="315"/>
      <c r="AZ99" s="315"/>
      <c r="BA99" s="315"/>
      <c r="BB99" s="315"/>
      <c r="BD99" s="349"/>
    </row>
    <row r="100" spans="1:56" s="334" customFormat="1" ht="24" customHeight="1">
      <c r="A100" s="313"/>
      <c r="B100" s="317"/>
      <c r="C100" s="318"/>
      <c r="D100" s="315"/>
      <c r="E100" s="288"/>
      <c r="F100" s="359"/>
      <c r="G100" s="288"/>
      <c r="H100" s="350"/>
      <c r="I100" s="350"/>
      <c r="J100" s="313"/>
      <c r="K100" s="313"/>
      <c r="L100" s="347"/>
      <c r="M100" s="347"/>
      <c r="N100" s="332"/>
      <c r="O100" s="315"/>
      <c r="P100" s="322"/>
      <c r="Q100" s="322"/>
      <c r="R100" s="323"/>
      <c r="S100" s="322"/>
      <c r="T100" s="323"/>
      <c r="U100" s="323"/>
      <c r="V100" s="313"/>
      <c r="W100" s="289"/>
      <c r="X100" s="340"/>
      <c r="Y100" s="289"/>
      <c r="Z100" s="289"/>
      <c r="AA100" s="324"/>
      <c r="AB100" s="326"/>
      <c r="AC100" s="326"/>
      <c r="AD100" s="325"/>
      <c r="AE100" s="327"/>
      <c r="AF100" s="313"/>
      <c r="AG100" s="197"/>
      <c r="AH100" s="332"/>
      <c r="AI100" s="330"/>
      <c r="AJ100" s="313"/>
      <c r="AK100" s="331"/>
      <c r="AL100" s="364"/>
      <c r="AM100" s="313"/>
      <c r="AN100" s="332"/>
      <c r="AO100" s="332"/>
      <c r="AP100" s="395"/>
      <c r="AQ100" s="315"/>
      <c r="AR100" s="315"/>
      <c r="AS100" s="315"/>
      <c r="AT100" s="385"/>
      <c r="AU100" s="333"/>
      <c r="AV100" s="333"/>
      <c r="AW100" s="333"/>
      <c r="AX100" s="315"/>
      <c r="AY100" s="315"/>
      <c r="AZ100" s="315"/>
      <c r="BA100" s="315"/>
      <c r="BB100" s="315"/>
    </row>
    <row r="101" spans="1:56" s="334" customFormat="1" ht="24" customHeight="1">
      <c r="A101" s="313"/>
      <c r="B101" s="317"/>
      <c r="C101" s="318"/>
      <c r="D101" s="315"/>
      <c r="E101" s="288"/>
      <c r="F101" s="359"/>
      <c r="G101" s="288"/>
      <c r="H101" s="350"/>
      <c r="I101" s="350"/>
      <c r="J101" s="313"/>
      <c r="K101" s="313"/>
      <c r="L101" s="347"/>
      <c r="M101" s="347"/>
      <c r="N101" s="332"/>
      <c r="O101" s="315"/>
      <c r="P101" s="322"/>
      <c r="Q101" s="322"/>
      <c r="R101" s="323"/>
      <c r="S101" s="322"/>
      <c r="T101" s="323"/>
      <c r="U101" s="323"/>
      <c r="V101" s="313"/>
      <c r="W101" s="289"/>
      <c r="X101" s="340"/>
      <c r="Y101" s="289"/>
      <c r="Z101" s="289"/>
      <c r="AA101" s="324"/>
      <c r="AB101" s="326"/>
      <c r="AC101" s="326"/>
      <c r="AD101" s="325"/>
      <c r="AE101" s="327"/>
      <c r="AF101" s="313"/>
      <c r="AG101" s="197"/>
      <c r="AH101" s="332"/>
      <c r="AI101" s="330"/>
      <c r="AJ101" s="313"/>
      <c r="AK101" s="331"/>
      <c r="AL101" s="364"/>
      <c r="AM101" s="313"/>
      <c r="AN101" s="332"/>
      <c r="AO101" s="332"/>
      <c r="AP101" s="395"/>
      <c r="AQ101" s="315"/>
      <c r="AR101" s="315"/>
      <c r="AS101" s="315"/>
      <c r="AT101" s="385"/>
      <c r="AU101" s="333"/>
      <c r="AV101" s="333"/>
      <c r="AW101" s="333"/>
      <c r="AX101" s="315"/>
      <c r="AY101" s="315"/>
      <c r="AZ101" s="315"/>
      <c r="BA101" s="315"/>
      <c r="BB101" s="315"/>
    </row>
    <row r="102" spans="1:56" s="334" customFormat="1" ht="24" customHeight="1">
      <c r="A102" s="313"/>
      <c r="B102" s="317"/>
      <c r="C102" s="318"/>
      <c r="D102" s="315"/>
      <c r="E102" s="288"/>
      <c r="F102" s="359"/>
      <c r="G102" s="288"/>
      <c r="H102" s="350"/>
      <c r="I102" s="350"/>
      <c r="J102" s="313"/>
      <c r="K102" s="313"/>
      <c r="L102" s="347"/>
      <c r="M102" s="347"/>
      <c r="N102" s="332"/>
      <c r="O102" s="315"/>
      <c r="P102" s="322"/>
      <c r="Q102" s="322"/>
      <c r="R102" s="323"/>
      <c r="S102" s="322"/>
      <c r="T102" s="323"/>
      <c r="U102" s="323"/>
      <c r="V102" s="313"/>
      <c r="W102" s="289"/>
      <c r="X102" s="340"/>
      <c r="Y102" s="289"/>
      <c r="Z102" s="289"/>
      <c r="AA102" s="324"/>
      <c r="AB102" s="326"/>
      <c r="AC102" s="326"/>
      <c r="AD102" s="325"/>
      <c r="AE102" s="327"/>
      <c r="AF102" s="313"/>
      <c r="AG102" s="197"/>
      <c r="AH102" s="332"/>
      <c r="AI102" s="330"/>
      <c r="AJ102" s="313"/>
      <c r="AK102" s="331"/>
      <c r="AL102" s="364"/>
      <c r="AM102" s="313"/>
      <c r="AN102" s="332"/>
      <c r="AO102" s="332"/>
      <c r="AP102" s="395"/>
      <c r="AQ102" s="315"/>
      <c r="AR102" s="315"/>
      <c r="AS102" s="315"/>
      <c r="AT102" s="385"/>
      <c r="AU102" s="333"/>
      <c r="AV102" s="333"/>
      <c r="AW102" s="333"/>
      <c r="AX102" s="315"/>
      <c r="AY102" s="315"/>
      <c r="AZ102" s="315"/>
      <c r="BA102" s="315"/>
      <c r="BB102" s="315"/>
      <c r="BD102" s="349"/>
    </row>
    <row r="103" spans="1:56" s="334" customFormat="1" ht="24" customHeight="1">
      <c r="A103" s="313"/>
      <c r="B103" s="317"/>
      <c r="C103" s="318"/>
      <c r="D103" s="315"/>
      <c r="E103" s="288"/>
      <c r="F103" s="359"/>
      <c r="G103" s="288"/>
      <c r="H103" s="350"/>
      <c r="I103" s="350"/>
      <c r="J103" s="313"/>
      <c r="K103" s="313"/>
      <c r="L103" s="347"/>
      <c r="M103" s="347"/>
      <c r="N103" s="332"/>
      <c r="O103" s="315"/>
      <c r="P103" s="322"/>
      <c r="Q103" s="322"/>
      <c r="R103" s="323"/>
      <c r="S103" s="322"/>
      <c r="T103" s="323"/>
      <c r="U103" s="323"/>
      <c r="V103" s="313"/>
      <c r="W103" s="289"/>
      <c r="X103" s="340"/>
      <c r="Y103" s="289"/>
      <c r="Z103" s="289"/>
      <c r="AA103" s="324"/>
      <c r="AB103" s="326"/>
      <c r="AC103" s="326"/>
      <c r="AD103" s="325"/>
      <c r="AE103" s="327"/>
      <c r="AF103" s="313"/>
      <c r="AG103" s="197"/>
      <c r="AH103" s="332"/>
      <c r="AI103" s="330"/>
      <c r="AJ103" s="313"/>
      <c r="AK103" s="331"/>
      <c r="AL103" s="364"/>
      <c r="AM103" s="313"/>
      <c r="AN103" s="332"/>
      <c r="AO103" s="332"/>
      <c r="AP103" s="395"/>
      <c r="AQ103" s="315"/>
      <c r="AR103" s="315"/>
      <c r="AS103" s="315"/>
      <c r="AT103" s="385"/>
      <c r="AU103" s="333"/>
      <c r="AV103" s="333"/>
      <c r="AW103" s="333"/>
      <c r="AX103" s="315"/>
      <c r="AY103" s="315"/>
      <c r="AZ103" s="315"/>
      <c r="BA103" s="315"/>
      <c r="BB103" s="315"/>
    </row>
    <row r="104" spans="1:56" s="334" customFormat="1" ht="24" customHeight="1">
      <c r="A104" s="313"/>
      <c r="B104" s="317"/>
      <c r="C104" s="318"/>
      <c r="D104" s="315"/>
      <c r="E104" s="288"/>
      <c r="F104" s="359"/>
      <c r="G104" s="288"/>
      <c r="H104" s="350"/>
      <c r="I104" s="350"/>
      <c r="J104" s="313"/>
      <c r="K104" s="313"/>
      <c r="L104" s="347"/>
      <c r="M104" s="347"/>
      <c r="N104" s="332"/>
      <c r="O104" s="315"/>
      <c r="P104" s="322"/>
      <c r="Q104" s="322"/>
      <c r="R104" s="323"/>
      <c r="S104" s="322"/>
      <c r="T104" s="323"/>
      <c r="U104" s="323"/>
      <c r="V104" s="313"/>
      <c r="W104" s="289"/>
      <c r="X104" s="340"/>
      <c r="Y104" s="289"/>
      <c r="Z104" s="289"/>
      <c r="AA104" s="324"/>
      <c r="AB104" s="326"/>
      <c r="AC104" s="326"/>
      <c r="AD104" s="325"/>
      <c r="AE104" s="327"/>
      <c r="AF104" s="313"/>
      <c r="AG104" s="197"/>
      <c r="AH104" s="332"/>
      <c r="AI104" s="330"/>
      <c r="AJ104" s="313"/>
      <c r="AK104" s="331"/>
      <c r="AL104" s="364"/>
      <c r="AM104" s="313"/>
      <c r="AN104" s="332"/>
      <c r="AO104" s="332"/>
      <c r="AP104" s="395"/>
      <c r="AQ104" s="315"/>
      <c r="AR104" s="315"/>
      <c r="AS104" s="315"/>
      <c r="AT104" s="385"/>
      <c r="AU104" s="333"/>
      <c r="AV104" s="333"/>
      <c r="AW104" s="333"/>
      <c r="AX104" s="315"/>
      <c r="AY104" s="315"/>
      <c r="AZ104" s="315"/>
      <c r="BA104" s="315"/>
      <c r="BB104" s="315"/>
    </row>
    <row r="105" spans="1:56" s="334" customFormat="1" ht="24" customHeight="1">
      <c r="A105" s="313"/>
      <c r="B105" s="317"/>
      <c r="C105" s="318"/>
      <c r="D105" s="315"/>
      <c r="E105" s="288"/>
      <c r="F105" s="359"/>
      <c r="G105" s="288"/>
      <c r="H105" s="350"/>
      <c r="I105" s="350"/>
      <c r="J105" s="313"/>
      <c r="K105" s="313"/>
      <c r="L105" s="347"/>
      <c r="M105" s="347"/>
      <c r="N105" s="332"/>
      <c r="O105" s="315"/>
      <c r="P105" s="322"/>
      <c r="Q105" s="322"/>
      <c r="R105" s="323"/>
      <c r="S105" s="322"/>
      <c r="T105" s="323"/>
      <c r="U105" s="323"/>
      <c r="V105" s="313"/>
      <c r="W105" s="289"/>
      <c r="X105" s="340"/>
      <c r="Y105" s="289"/>
      <c r="Z105" s="289"/>
      <c r="AA105" s="324"/>
      <c r="AB105" s="326"/>
      <c r="AC105" s="326"/>
      <c r="AD105" s="325"/>
      <c r="AE105" s="327"/>
      <c r="AF105" s="313"/>
      <c r="AG105" s="197"/>
      <c r="AH105" s="332"/>
      <c r="AI105" s="330"/>
      <c r="AJ105" s="313"/>
      <c r="AK105" s="331"/>
      <c r="AL105" s="364"/>
      <c r="AM105" s="313"/>
      <c r="AN105" s="332"/>
      <c r="AO105" s="332"/>
      <c r="AP105" s="395"/>
      <c r="AQ105" s="315"/>
      <c r="AR105" s="315"/>
      <c r="AS105" s="315"/>
      <c r="AT105" s="385"/>
      <c r="AU105" s="333"/>
      <c r="AV105" s="333"/>
      <c r="AW105" s="333"/>
      <c r="AX105" s="315"/>
      <c r="AY105" s="315"/>
      <c r="AZ105" s="315"/>
      <c r="BA105" s="315"/>
      <c r="BB105" s="315"/>
      <c r="BD105" s="349"/>
    </row>
    <row r="106" spans="1:56" s="334" customFormat="1" ht="24" customHeight="1">
      <c r="A106" s="313"/>
      <c r="B106" s="317"/>
      <c r="C106" s="318"/>
      <c r="D106" s="315"/>
      <c r="E106" s="288"/>
      <c r="F106" s="359"/>
      <c r="G106" s="288"/>
      <c r="H106" s="350"/>
      <c r="I106" s="350"/>
      <c r="J106" s="313"/>
      <c r="K106" s="313"/>
      <c r="L106" s="347"/>
      <c r="M106" s="347"/>
      <c r="N106" s="332"/>
      <c r="O106" s="315"/>
      <c r="P106" s="322"/>
      <c r="Q106" s="322"/>
      <c r="R106" s="323"/>
      <c r="S106" s="322"/>
      <c r="T106" s="323"/>
      <c r="U106" s="323"/>
      <c r="V106" s="313"/>
      <c r="W106" s="289"/>
      <c r="X106" s="340"/>
      <c r="Y106" s="289"/>
      <c r="Z106" s="289"/>
      <c r="AA106" s="324"/>
      <c r="AB106" s="326"/>
      <c r="AC106" s="326"/>
      <c r="AD106" s="325"/>
      <c r="AE106" s="327"/>
      <c r="AF106" s="313"/>
      <c r="AG106" s="197"/>
      <c r="AH106" s="332"/>
      <c r="AI106" s="330"/>
      <c r="AJ106" s="313"/>
      <c r="AK106" s="331"/>
      <c r="AL106" s="364"/>
      <c r="AM106" s="313"/>
      <c r="AN106" s="332"/>
      <c r="AO106" s="332"/>
      <c r="AP106" s="395"/>
      <c r="AQ106" s="315"/>
      <c r="AR106" s="315"/>
      <c r="AS106" s="315"/>
      <c r="AT106" s="385"/>
      <c r="AU106" s="333"/>
      <c r="AV106" s="333"/>
      <c r="AW106" s="333"/>
      <c r="AX106" s="315"/>
      <c r="AY106" s="315"/>
      <c r="AZ106" s="315"/>
      <c r="BA106" s="315"/>
      <c r="BB106" s="315"/>
      <c r="BD106" s="361"/>
    </row>
    <row r="107" spans="1:56" s="334" customFormat="1" ht="24.95" customHeight="1">
      <c r="A107" s="313"/>
      <c r="B107" s="317"/>
      <c r="C107" s="318"/>
      <c r="D107" s="315"/>
      <c r="E107" s="288"/>
      <c r="F107" s="359"/>
      <c r="G107" s="288"/>
      <c r="H107" s="350"/>
      <c r="I107" s="350"/>
      <c r="J107" s="313"/>
      <c r="K107" s="313"/>
      <c r="L107" s="347"/>
      <c r="M107" s="347"/>
      <c r="N107" s="332"/>
      <c r="O107" s="315"/>
      <c r="P107" s="322"/>
      <c r="Q107" s="322"/>
      <c r="R107" s="323"/>
      <c r="S107" s="322"/>
      <c r="T107" s="323"/>
      <c r="U107" s="323"/>
      <c r="V107" s="313"/>
      <c r="W107" s="289"/>
      <c r="X107" s="340"/>
      <c r="Y107" s="289"/>
      <c r="Z107" s="289"/>
      <c r="AA107" s="324"/>
      <c r="AB107" s="326"/>
      <c r="AC107" s="326"/>
      <c r="AD107" s="325"/>
      <c r="AE107" s="327"/>
      <c r="AF107" s="313"/>
      <c r="AG107" s="197"/>
      <c r="AH107" s="332"/>
      <c r="AI107" s="330"/>
      <c r="AJ107" s="313"/>
      <c r="AK107" s="331"/>
      <c r="AL107" s="364"/>
      <c r="AM107" s="313"/>
      <c r="AN107" s="332"/>
      <c r="AO107" s="332"/>
      <c r="AP107" s="395"/>
      <c r="AQ107" s="315"/>
      <c r="AR107" s="315"/>
      <c r="AS107" s="315"/>
      <c r="AT107" s="385"/>
      <c r="AU107" s="333"/>
      <c r="AV107" s="333"/>
      <c r="AW107" s="333"/>
      <c r="AX107" s="315"/>
      <c r="AY107" s="315"/>
      <c r="AZ107" s="315"/>
      <c r="BA107" s="315"/>
      <c r="BB107" s="315"/>
      <c r="BD107" s="361"/>
    </row>
    <row r="108" spans="1:56" s="334" customFormat="1" ht="24.95" customHeight="1">
      <c r="A108" s="313"/>
      <c r="B108" s="317"/>
      <c r="C108" s="288"/>
      <c r="D108" s="315"/>
      <c r="E108" s="288"/>
      <c r="F108" s="288"/>
      <c r="G108" s="288"/>
      <c r="H108" s="350"/>
      <c r="I108" s="350"/>
      <c r="J108" s="313"/>
      <c r="K108" s="313"/>
      <c r="L108" s="347"/>
      <c r="M108" s="353"/>
      <c r="N108" s="332"/>
      <c r="O108" s="315"/>
      <c r="P108" s="322"/>
      <c r="Q108" s="323"/>
      <c r="R108" s="323"/>
      <c r="S108" s="322"/>
      <c r="T108" s="323"/>
      <c r="U108" s="323"/>
      <c r="V108" s="288"/>
      <c r="W108" s="289"/>
      <c r="X108" s="340"/>
      <c r="Y108" s="351"/>
      <c r="Z108" s="326"/>
      <c r="AA108" s="318"/>
      <c r="AB108" s="326"/>
      <c r="AC108" s="326"/>
      <c r="AD108" s="326"/>
      <c r="AE108" s="327"/>
      <c r="AF108" s="313"/>
      <c r="AG108" s="197"/>
      <c r="AH108" s="329"/>
      <c r="AI108" s="330"/>
      <c r="AJ108" s="313"/>
      <c r="AK108" s="331"/>
      <c r="AL108" s="364"/>
      <c r="AM108" s="313"/>
      <c r="AN108" s="332"/>
      <c r="AO108" s="332"/>
      <c r="AP108" s="369"/>
      <c r="AQ108" s="315"/>
      <c r="AR108" s="315"/>
      <c r="AS108" s="315"/>
      <c r="AT108" s="385"/>
      <c r="AU108" s="333"/>
      <c r="AV108" s="333"/>
      <c r="AW108" s="333"/>
      <c r="AX108" s="315"/>
      <c r="AY108" s="315"/>
      <c r="AZ108" s="315"/>
      <c r="BA108" s="315"/>
      <c r="BB108" s="315"/>
    </row>
    <row r="109" spans="1:56" s="334" customFormat="1" ht="24.95" customHeight="1">
      <c r="A109" s="313"/>
      <c r="B109" s="317"/>
      <c r="C109" s="288"/>
      <c r="D109" s="315"/>
      <c r="E109" s="288"/>
      <c r="F109" s="288"/>
      <c r="G109" s="288"/>
      <c r="H109" s="350"/>
      <c r="I109" s="350"/>
      <c r="J109" s="313"/>
      <c r="K109" s="313"/>
      <c r="L109" s="347"/>
      <c r="M109" s="353"/>
      <c r="N109" s="332"/>
      <c r="O109" s="315"/>
      <c r="P109" s="322"/>
      <c r="Q109" s="323"/>
      <c r="R109" s="323"/>
      <c r="S109" s="322"/>
      <c r="T109" s="323"/>
      <c r="U109" s="323"/>
      <c r="V109" s="288"/>
      <c r="W109" s="289"/>
      <c r="X109" s="340"/>
      <c r="Y109" s="351"/>
      <c r="Z109" s="326"/>
      <c r="AA109" s="318"/>
      <c r="AB109" s="326"/>
      <c r="AC109" s="326"/>
      <c r="AD109" s="326"/>
      <c r="AE109" s="327"/>
      <c r="AF109" s="313"/>
      <c r="AG109" s="197"/>
      <c r="AH109" s="332"/>
      <c r="AI109" s="330"/>
      <c r="AJ109" s="313"/>
      <c r="AK109" s="331"/>
      <c r="AL109" s="364"/>
      <c r="AM109" s="313"/>
      <c r="AN109" s="332"/>
      <c r="AO109" s="332"/>
      <c r="AP109" s="395"/>
      <c r="AQ109" s="315"/>
      <c r="AR109" s="315"/>
      <c r="AS109" s="315"/>
      <c r="AT109" s="385"/>
      <c r="AU109" s="333"/>
      <c r="AV109" s="333"/>
      <c r="AW109" s="333"/>
      <c r="AX109" s="315"/>
      <c r="AY109" s="315"/>
      <c r="AZ109" s="315"/>
      <c r="BA109" s="315"/>
      <c r="BB109" s="315"/>
    </row>
    <row r="110" spans="1:56" s="334" customFormat="1" ht="24.95" customHeight="1">
      <c r="A110" s="313"/>
      <c r="B110" s="317"/>
      <c r="C110" s="288"/>
      <c r="D110" s="315"/>
      <c r="E110" s="288"/>
      <c r="F110" s="288"/>
      <c r="G110" s="288"/>
      <c r="H110" s="350"/>
      <c r="I110" s="350"/>
      <c r="J110" s="313"/>
      <c r="K110" s="313"/>
      <c r="L110" s="347"/>
      <c r="M110" s="353"/>
      <c r="N110" s="332"/>
      <c r="O110" s="315"/>
      <c r="P110" s="322"/>
      <c r="Q110" s="323"/>
      <c r="R110" s="323"/>
      <c r="S110" s="322"/>
      <c r="T110" s="323"/>
      <c r="U110" s="323"/>
      <c r="V110" s="288"/>
      <c r="W110" s="289"/>
      <c r="X110" s="340"/>
      <c r="Y110" s="351"/>
      <c r="Z110" s="326"/>
      <c r="AA110" s="318"/>
      <c r="AB110" s="326"/>
      <c r="AC110" s="326"/>
      <c r="AD110" s="326"/>
      <c r="AE110" s="327"/>
      <c r="AF110" s="313"/>
      <c r="AG110" s="197"/>
      <c r="AH110" s="332"/>
      <c r="AI110" s="330"/>
      <c r="AJ110" s="313"/>
      <c r="AK110" s="331"/>
      <c r="AL110" s="364"/>
      <c r="AM110" s="313"/>
      <c r="AN110" s="332"/>
      <c r="AO110" s="332"/>
      <c r="AP110" s="395"/>
      <c r="AQ110" s="315"/>
      <c r="AR110" s="315"/>
      <c r="AS110" s="315"/>
      <c r="AT110" s="385"/>
      <c r="AU110" s="333"/>
      <c r="AV110" s="333"/>
      <c r="AW110" s="333"/>
      <c r="AX110" s="315"/>
      <c r="AY110" s="315"/>
      <c r="AZ110" s="315"/>
      <c r="BA110" s="315"/>
      <c r="BB110" s="315"/>
    </row>
    <row r="111" spans="1:56" s="334" customFormat="1" ht="24" customHeight="1">
      <c r="A111" s="313"/>
      <c r="B111" s="317"/>
      <c r="C111" s="288"/>
      <c r="D111" s="315"/>
      <c r="E111" s="288"/>
      <c r="F111" s="288"/>
      <c r="G111" s="288"/>
      <c r="H111" s="350"/>
      <c r="I111" s="350"/>
      <c r="J111" s="313"/>
      <c r="K111" s="313"/>
      <c r="L111" s="347"/>
      <c r="M111" s="353"/>
      <c r="N111" s="332"/>
      <c r="O111" s="315"/>
      <c r="P111" s="322"/>
      <c r="Q111" s="323"/>
      <c r="R111" s="323"/>
      <c r="S111" s="322"/>
      <c r="T111" s="323"/>
      <c r="U111" s="323"/>
      <c r="V111" s="288"/>
      <c r="W111" s="289"/>
      <c r="X111" s="340"/>
      <c r="Y111" s="351"/>
      <c r="Z111" s="326"/>
      <c r="AA111" s="318"/>
      <c r="AB111" s="326"/>
      <c r="AC111" s="326"/>
      <c r="AD111" s="326"/>
      <c r="AE111" s="327"/>
      <c r="AF111" s="313"/>
      <c r="AG111" s="197"/>
      <c r="AH111" s="332"/>
      <c r="AI111" s="330"/>
      <c r="AJ111" s="313"/>
      <c r="AK111" s="331"/>
      <c r="AL111" s="364"/>
      <c r="AM111" s="313"/>
      <c r="AN111" s="332"/>
      <c r="AO111" s="332"/>
      <c r="AP111" s="395"/>
      <c r="AQ111" s="315"/>
      <c r="AR111" s="315"/>
      <c r="AS111" s="315"/>
      <c r="AT111" s="385"/>
      <c r="AU111" s="333"/>
      <c r="AV111" s="333"/>
      <c r="AW111" s="333"/>
      <c r="AX111" s="315"/>
      <c r="AY111" s="315"/>
      <c r="AZ111" s="315"/>
      <c r="BA111" s="315"/>
      <c r="BB111" s="315"/>
    </row>
    <row r="112" spans="1:56" s="334" customFormat="1" ht="24.95" customHeight="1">
      <c r="A112" s="313"/>
      <c r="B112" s="317"/>
      <c r="C112" s="288"/>
      <c r="D112" s="315"/>
      <c r="E112" s="288"/>
      <c r="F112" s="359"/>
      <c r="G112" s="288"/>
      <c r="H112" s="350"/>
      <c r="I112" s="350"/>
      <c r="J112" s="313"/>
      <c r="K112" s="313"/>
      <c r="L112" s="347"/>
      <c r="M112" s="353"/>
      <c r="N112" s="332"/>
      <c r="O112" s="315"/>
      <c r="P112" s="322"/>
      <c r="Q112" s="322"/>
      <c r="R112" s="323"/>
      <c r="S112" s="322"/>
      <c r="T112" s="323"/>
      <c r="U112" s="323"/>
      <c r="V112" s="313"/>
      <c r="W112" s="289"/>
      <c r="X112" s="340"/>
      <c r="Y112" s="351"/>
      <c r="Z112" s="326"/>
      <c r="AA112" s="318"/>
      <c r="AB112" s="326"/>
      <c r="AC112" s="326"/>
      <c r="AD112" s="325"/>
      <c r="AE112" s="327"/>
      <c r="AF112" s="313"/>
      <c r="AG112" s="197"/>
      <c r="AH112" s="332"/>
      <c r="AI112" s="330"/>
      <c r="AJ112" s="313"/>
      <c r="AK112" s="331"/>
      <c r="AL112" s="364"/>
      <c r="AM112" s="313"/>
      <c r="AN112" s="332"/>
      <c r="AO112" s="332"/>
      <c r="AP112" s="395"/>
      <c r="AQ112" s="315"/>
      <c r="AR112" s="315"/>
      <c r="AS112" s="315"/>
      <c r="AT112" s="385"/>
      <c r="AU112" s="333"/>
      <c r="AV112" s="333"/>
      <c r="AW112" s="333"/>
      <c r="AX112" s="315"/>
      <c r="AY112" s="315"/>
      <c r="AZ112" s="315"/>
      <c r="BA112" s="315"/>
      <c r="BB112" s="315"/>
      <c r="BD112" s="349"/>
    </row>
    <row r="113" spans="1:56" s="334" customFormat="1" ht="24.95" customHeight="1">
      <c r="A113" s="313"/>
      <c r="B113" s="317"/>
      <c r="C113" s="288"/>
      <c r="D113" s="315"/>
      <c r="E113" s="288"/>
      <c r="F113" s="359"/>
      <c r="G113" s="288"/>
      <c r="H113" s="350"/>
      <c r="I113" s="350"/>
      <c r="J113" s="313"/>
      <c r="K113" s="313"/>
      <c r="L113" s="347"/>
      <c r="M113" s="353"/>
      <c r="N113" s="332"/>
      <c r="O113" s="315"/>
      <c r="P113" s="322"/>
      <c r="Q113" s="322"/>
      <c r="R113" s="323"/>
      <c r="S113" s="322"/>
      <c r="T113" s="323"/>
      <c r="U113" s="323"/>
      <c r="V113" s="313"/>
      <c r="W113" s="289"/>
      <c r="X113" s="340"/>
      <c r="Y113" s="351"/>
      <c r="Z113" s="326"/>
      <c r="AA113" s="318"/>
      <c r="AB113" s="326"/>
      <c r="AC113" s="326"/>
      <c r="AD113" s="325"/>
      <c r="AE113" s="327"/>
      <c r="AF113" s="313"/>
      <c r="AG113" s="197"/>
      <c r="AH113" s="332"/>
      <c r="AI113" s="330"/>
      <c r="AJ113" s="313"/>
      <c r="AK113" s="331"/>
      <c r="AL113" s="364"/>
      <c r="AM113" s="313"/>
      <c r="AN113" s="332"/>
      <c r="AO113" s="332"/>
      <c r="AP113" s="395"/>
      <c r="AQ113" s="315"/>
      <c r="AR113" s="315"/>
      <c r="AS113" s="315"/>
      <c r="AT113" s="385"/>
      <c r="AU113" s="333"/>
      <c r="AV113" s="333"/>
      <c r="AW113" s="333"/>
      <c r="AX113" s="315"/>
      <c r="AY113" s="315"/>
      <c r="AZ113" s="315"/>
      <c r="BA113" s="315"/>
      <c r="BB113" s="315"/>
    </row>
    <row r="114" spans="1:56" s="334" customFormat="1" ht="24.95" customHeight="1">
      <c r="A114" s="313"/>
      <c r="B114" s="317"/>
      <c r="C114" s="288"/>
      <c r="D114" s="315"/>
      <c r="E114" s="288"/>
      <c r="F114" s="359"/>
      <c r="G114" s="288"/>
      <c r="H114" s="350"/>
      <c r="I114" s="350"/>
      <c r="J114" s="313"/>
      <c r="K114" s="313"/>
      <c r="L114" s="347"/>
      <c r="M114" s="353"/>
      <c r="N114" s="332"/>
      <c r="O114" s="315"/>
      <c r="P114" s="322"/>
      <c r="Q114" s="322"/>
      <c r="R114" s="323"/>
      <c r="S114" s="322"/>
      <c r="T114" s="323"/>
      <c r="U114" s="323"/>
      <c r="V114" s="313"/>
      <c r="W114" s="289"/>
      <c r="X114" s="340"/>
      <c r="Y114" s="351"/>
      <c r="Z114" s="326"/>
      <c r="AA114" s="318"/>
      <c r="AB114" s="326"/>
      <c r="AC114" s="326"/>
      <c r="AD114" s="325"/>
      <c r="AE114" s="327"/>
      <c r="AF114" s="313"/>
      <c r="AG114" s="197"/>
      <c r="AH114" s="332"/>
      <c r="AI114" s="330"/>
      <c r="AJ114" s="313"/>
      <c r="AK114" s="331"/>
      <c r="AL114" s="364"/>
      <c r="AM114" s="313"/>
      <c r="AN114" s="332"/>
      <c r="AO114" s="332"/>
      <c r="AP114" s="395"/>
      <c r="AQ114" s="315"/>
      <c r="AR114" s="315"/>
      <c r="AS114" s="315"/>
      <c r="AT114" s="385"/>
      <c r="AU114" s="333"/>
      <c r="AV114" s="333"/>
      <c r="AW114" s="333"/>
      <c r="AX114" s="315"/>
      <c r="AY114" s="315"/>
      <c r="AZ114" s="315"/>
      <c r="BA114" s="315"/>
      <c r="BB114" s="315"/>
    </row>
    <row r="115" spans="1:56" s="334" customFormat="1" ht="24" customHeight="1">
      <c r="A115" s="313"/>
      <c r="B115" s="314"/>
      <c r="C115" s="314"/>
      <c r="D115" s="315"/>
      <c r="E115" s="314"/>
      <c r="F115" s="314"/>
      <c r="G115" s="314"/>
      <c r="H115" s="350"/>
      <c r="I115" s="350"/>
      <c r="J115" s="313"/>
      <c r="K115" s="313"/>
      <c r="L115" s="347"/>
      <c r="M115" s="347"/>
      <c r="N115" s="332"/>
      <c r="O115" s="315"/>
      <c r="P115" s="322"/>
      <c r="Q115" s="323"/>
      <c r="R115" s="323"/>
      <c r="S115" s="322"/>
      <c r="T115" s="323"/>
      <c r="U115" s="323"/>
      <c r="V115" s="313"/>
      <c r="W115" s="367"/>
      <c r="X115" s="340"/>
      <c r="Y115" s="289"/>
      <c r="Z115" s="326"/>
      <c r="AA115" s="324"/>
      <c r="AB115" s="326"/>
      <c r="AC115" s="326"/>
      <c r="AD115" s="326"/>
      <c r="AE115" s="327"/>
      <c r="AF115" s="313"/>
      <c r="AG115" s="313"/>
      <c r="AH115" s="332"/>
      <c r="AI115" s="330"/>
      <c r="AJ115" s="313"/>
      <c r="AK115" s="331"/>
      <c r="AL115" s="330"/>
      <c r="AM115" s="313"/>
      <c r="AN115" s="66"/>
      <c r="AO115" s="60"/>
      <c r="AP115" s="328"/>
      <c r="AQ115" s="315"/>
      <c r="AR115" s="315"/>
      <c r="AS115" s="315"/>
      <c r="AT115" s="385"/>
      <c r="AU115" s="333"/>
      <c r="AV115" s="333"/>
      <c r="AW115" s="388"/>
      <c r="AX115" s="389"/>
      <c r="AY115" s="380"/>
      <c r="AZ115" s="315"/>
      <c r="BA115" s="352"/>
      <c r="BB115" s="352"/>
      <c r="BC115" s="411"/>
      <c r="BD115" s="379"/>
    </row>
    <row r="116" spans="1:56" s="334" customFormat="1" ht="24.95" customHeight="1">
      <c r="A116" s="313"/>
      <c r="B116" s="314"/>
      <c r="C116" s="314"/>
      <c r="D116" s="315"/>
      <c r="E116" s="288"/>
      <c r="F116" s="288"/>
      <c r="G116" s="288"/>
      <c r="H116" s="350"/>
      <c r="I116" s="350"/>
      <c r="J116" s="313"/>
      <c r="K116" s="313"/>
      <c r="L116" s="347"/>
      <c r="M116" s="353"/>
      <c r="N116" s="332"/>
      <c r="O116" s="315"/>
      <c r="P116" s="322"/>
      <c r="Q116" s="323"/>
      <c r="R116" s="323"/>
      <c r="S116" s="322"/>
      <c r="T116" s="323"/>
      <c r="U116" s="323"/>
      <c r="V116" s="288"/>
      <c r="W116" s="367"/>
      <c r="X116" s="340"/>
      <c r="Y116" s="289"/>
      <c r="Z116" s="326"/>
      <c r="AA116" s="324"/>
      <c r="AB116" s="326"/>
      <c r="AC116" s="326"/>
      <c r="AD116" s="326"/>
      <c r="AE116" s="327"/>
      <c r="AF116" s="313"/>
      <c r="AG116" s="313"/>
      <c r="AH116" s="332"/>
      <c r="AI116" s="330"/>
      <c r="AJ116" s="313"/>
      <c r="AK116" s="331"/>
      <c r="AL116" s="364"/>
      <c r="AM116" s="313"/>
      <c r="AN116" s="66"/>
      <c r="AO116" s="60"/>
      <c r="AP116" s="395"/>
      <c r="AQ116" s="315"/>
      <c r="AR116" s="315"/>
      <c r="AS116" s="315"/>
      <c r="AT116" s="385"/>
      <c r="AU116" s="333"/>
      <c r="AV116" s="333"/>
      <c r="AW116" s="388"/>
      <c r="AX116" s="389"/>
      <c r="AY116" s="380"/>
      <c r="AZ116" s="315"/>
      <c r="BA116" s="352"/>
      <c r="BB116" s="352"/>
      <c r="BC116" s="411"/>
      <c r="BD116" s="379"/>
    </row>
    <row r="117" spans="1:56" s="334" customFormat="1" ht="24" customHeight="1">
      <c r="A117" s="313"/>
      <c r="B117" s="314"/>
      <c r="C117" s="314"/>
      <c r="D117" s="315"/>
      <c r="E117" s="314"/>
      <c r="F117" s="314"/>
      <c r="G117" s="314"/>
      <c r="H117" s="350"/>
      <c r="I117" s="350"/>
      <c r="J117" s="313"/>
      <c r="K117" s="313"/>
      <c r="L117" s="347"/>
      <c r="M117" s="347"/>
      <c r="N117" s="332"/>
      <c r="O117" s="315"/>
      <c r="P117" s="322"/>
      <c r="Q117" s="323"/>
      <c r="R117" s="323"/>
      <c r="S117" s="322"/>
      <c r="T117" s="323"/>
      <c r="U117" s="323"/>
      <c r="V117" s="313"/>
      <c r="W117" s="367"/>
      <c r="X117" s="340"/>
      <c r="Y117" s="289"/>
      <c r="Z117" s="326"/>
      <c r="AA117" s="324"/>
      <c r="AB117" s="326"/>
      <c r="AC117" s="326"/>
      <c r="AD117" s="326"/>
      <c r="AE117" s="327"/>
      <c r="AF117" s="313"/>
      <c r="AG117" s="313"/>
      <c r="AH117" s="332"/>
      <c r="AI117" s="330"/>
      <c r="AJ117" s="313"/>
      <c r="AK117" s="331"/>
      <c r="AL117" s="330"/>
      <c r="AM117" s="313"/>
      <c r="AN117" s="332"/>
      <c r="AO117" s="288"/>
      <c r="AP117" s="328"/>
      <c r="AQ117" s="315"/>
      <c r="AR117" s="315"/>
      <c r="AS117" s="315"/>
      <c r="AT117" s="385"/>
      <c r="AU117" s="333"/>
      <c r="AV117" s="333"/>
      <c r="AW117" s="388"/>
      <c r="AX117" s="389"/>
      <c r="AY117" s="315"/>
      <c r="AZ117" s="315"/>
      <c r="BA117" s="352"/>
      <c r="BB117" s="352"/>
      <c r="BC117" s="411"/>
      <c r="BD117" s="379"/>
    </row>
    <row r="118" spans="1:56" s="334" customFormat="1" ht="24" customHeight="1">
      <c r="A118" s="313"/>
      <c r="B118" s="317"/>
      <c r="C118" s="288"/>
      <c r="D118" s="315"/>
      <c r="E118" s="288"/>
      <c r="F118" s="288"/>
      <c r="G118" s="288"/>
      <c r="H118" s="350"/>
      <c r="I118" s="350"/>
      <c r="J118" s="313"/>
      <c r="K118" s="313"/>
      <c r="L118" s="347"/>
      <c r="M118" s="353"/>
      <c r="N118" s="332"/>
      <c r="O118" s="315"/>
      <c r="P118" s="322"/>
      <c r="Q118" s="323"/>
      <c r="R118" s="323"/>
      <c r="S118" s="322"/>
      <c r="T118" s="323"/>
      <c r="U118" s="323"/>
      <c r="V118" s="288"/>
      <c r="W118" s="367"/>
      <c r="X118" s="340"/>
      <c r="Y118" s="351"/>
      <c r="Z118" s="326"/>
      <c r="AA118" s="318"/>
      <c r="AB118" s="326"/>
      <c r="AC118" s="326"/>
      <c r="AD118" s="326"/>
      <c r="AE118" s="327"/>
      <c r="AF118" s="313"/>
      <c r="AG118" s="197"/>
      <c r="AH118" s="332"/>
      <c r="AI118" s="330"/>
      <c r="AJ118" s="313"/>
      <c r="AK118" s="331"/>
      <c r="AL118" s="364"/>
      <c r="AM118" s="313"/>
      <c r="AN118" s="332"/>
      <c r="AO118" s="332"/>
      <c r="AP118" s="395"/>
      <c r="AQ118" s="315"/>
      <c r="AR118" s="315"/>
      <c r="AS118" s="315"/>
      <c r="AT118" s="385"/>
      <c r="AU118" s="333"/>
      <c r="AV118" s="333"/>
      <c r="AW118" s="333"/>
      <c r="AX118" s="315"/>
      <c r="AY118" s="315"/>
      <c r="AZ118" s="315"/>
      <c r="BA118" s="315"/>
      <c r="BB118" s="315"/>
    </row>
    <row r="119" spans="1:56" s="334" customFormat="1" ht="24" customHeight="1">
      <c r="A119" s="313"/>
      <c r="B119" s="317"/>
      <c r="C119" s="314"/>
      <c r="D119" s="315"/>
      <c r="E119" s="335"/>
      <c r="F119" s="346"/>
      <c r="G119" s="314"/>
      <c r="H119" s="289"/>
      <c r="I119" s="289"/>
      <c r="J119" s="313"/>
      <c r="K119" s="313"/>
      <c r="L119" s="335"/>
      <c r="M119" s="335"/>
      <c r="N119" s="332"/>
      <c r="O119" s="315"/>
      <c r="P119" s="322"/>
      <c r="Q119" s="323"/>
      <c r="R119" s="323"/>
      <c r="S119" s="322"/>
      <c r="T119" s="323"/>
      <c r="U119" s="323"/>
      <c r="V119" s="335"/>
      <c r="W119" s="289"/>
      <c r="X119" s="288"/>
      <c r="Y119" s="289"/>
      <c r="Z119" s="289"/>
      <c r="AA119" s="318"/>
      <c r="AB119" s="326"/>
      <c r="AC119" s="326"/>
      <c r="AD119" s="326"/>
      <c r="AE119" s="327"/>
      <c r="AF119" s="313"/>
      <c r="AG119" s="407"/>
      <c r="AH119" s="332"/>
      <c r="AI119" s="330"/>
      <c r="AJ119" s="313"/>
      <c r="AK119" s="331"/>
      <c r="AL119" s="364"/>
      <c r="AM119" s="313"/>
      <c r="AN119" s="332"/>
      <c r="AO119" s="288"/>
      <c r="AP119" s="395"/>
      <c r="AQ119" s="315"/>
      <c r="AR119" s="315"/>
      <c r="AS119" s="315"/>
      <c r="AT119" s="385"/>
      <c r="AU119" s="333"/>
      <c r="AV119" s="333"/>
      <c r="AW119" s="333"/>
      <c r="AX119" s="315"/>
      <c r="AY119" s="315"/>
      <c r="AZ119" s="315"/>
      <c r="BA119" s="315"/>
      <c r="BB119" s="315"/>
    </row>
    <row r="120" spans="1:56" s="334" customFormat="1" ht="24" customHeight="1">
      <c r="A120" s="313"/>
      <c r="B120" s="317"/>
      <c r="C120" s="314"/>
      <c r="D120" s="315"/>
      <c r="E120" s="335"/>
      <c r="F120" s="346"/>
      <c r="G120" s="348"/>
      <c r="H120" s="289"/>
      <c r="I120" s="289"/>
      <c r="J120" s="313"/>
      <c r="K120" s="313"/>
      <c r="L120" s="400"/>
      <c r="M120" s="400"/>
      <c r="N120" s="332"/>
      <c r="O120" s="315"/>
      <c r="P120" s="322"/>
      <c r="Q120" s="323"/>
      <c r="R120" s="323"/>
      <c r="S120" s="322"/>
      <c r="T120" s="323"/>
      <c r="U120" s="323"/>
      <c r="V120" s="335"/>
      <c r="W120" s="289"/>
      <c r="X120" s="288"/>
      <c r="Y120" s="289"/>
      <c r="Z120" s="289"/>
      <c r="AA120" s="318"/>
      <c r="AB120" s="326"/>
      <c r="AC120" s="326"/>
      <c r="AD120" s="326"/>
      <c r="AE120" s="327"/>
      <c r="AF120" s="313"/>
      <c r="AG120" s="407"/>
      <c r="AH120" s="332"/>
      <c r="AI120" s="330"/>
      <c r="AJ120" s="313"/>
      <c r="AK120" s="331"/>
      <c r="AL120" s="364"/>
      <c r="AM120" s="313"/>
      <c r="AN120" s="332"/>
      <c r="AO120" s="288"/>
      <c r="AP120" s="398"/>
      <c r="AQ120" s="315"/>
      <c r="AR120" s="315"/>
      <c r="AS120" s="315"/>
      <c r="AT120" s="385"/>
      <c r="AU120" s="333"/>
      <c r="AV120" s="333"/>
      <c r="AW120" s="333"/>
      <c r="AX120" s="315"/>
      <c r="AY120" s="315"/>
      <c r="AZ120" s="315"/>
      <c r="BA120" s="315"/>
      <c r="BB120" s="315"/>
    </row>
    <row r="121" spans="1:56" s="334" customFormat="1" ht="24" customHeight="1">
      <c r="A121" s="313"/>
      <c r="B121" s="317"/>
      <c r="C121" s="314"/>
      <c r="D121" s="315"/>
      <c r="E121" s="335"/>
      <c r="F121" s="346"/>
      <c r="G121" s="348"/>
      <c r="H121" s="289"/>
      <c r="I121" s="289"/>
      <c r="J121" s="313"/>
      <c r="K121" s="313"/>
      <c r="L121" s="400"/>
      <c r="M121" s="400"/>
      <c r="N121" s="332"/>
      <c r="O121" s="315"/>
      <c r="P121" s="322"/>
      <c r="Q121" s="323"/>
      <c r="R121" s="323"/>
      <c r="S121" s="322"/>
      <c r="T121" s="323"/>
      <c r="U121" s="323"/>
      <c r="V121" s="335"/>
      <c r="W121" s="289"/>
      <c r="X121" s="288"/>
      <c r="Y121" s="289"/>
      <c r="Z121" s="289"/>
      <c r="AA121" s="318"/>
      <c r="AB121" s="326"/>
      <c r="AC121" s="326"/>
      <c r="AD121" s="326"/>
      <c r="AE121" s="327"/>
      <c r="AF121" s="313"/>
      <c r="AG121" s="407"/>
      <c r="AH121" s="332"/>
      <c r="AI121" s="330"/>
      <c r="AJ121" s="313"/>
      <c r="AK121" s="331"/>
      <c r="AL121" s="364"/>
      <c r="AM121" s="313"/>
      <c r="AN121" s="332"/>
      <c r="AO121" s="288"/>
      <c r="AP121" s="398"/>
      <c r="AQ121" s="315"/>
      <c r="AR121" s="315"/>
      <c r="AS121" s="315"/>
      <c r="AT121" s="385"/>
      <c r="AU121" s="333"/>
      <c r="AV121" s="333"/>
      <c r="AW121" s="333"/>
      <c r="AX121" s="315"/>
      <c r="AY121" s="315"/>
      <c r="AZ121" s="315"/>
      <c r="BA121" s="315"/>
      <c r="BB121" s="315"/>
    </row>
    <row r="122" spans="1:56" s="334" customFormat="1" ht="24" customHeight="1">
      <c r="A122" s="313"/>
      <c r="B122" s="317"/>
      <c r="C122" s="314"/>
      <c r="D122" s="315"/>
      <c r="E122" s="335"/>
      <c r="F122" s="346"/>
      <c r="G122" s="314"/>
      <c r="H122" s="289"/>
      <c r="I122" s="289"/>
      <c r="J122" s="313"/>
      <c r="K122" s="313"/>
      <c r="L122" s="400"/>
      <c r="M122" s="400"/>
      <c r="N122" s="332"/>
      <c r="O122" s="315"/>
      <c r="P122" s="322"/>
      <c r="Q122" s="323"/>
      <c r="R122" s="323"/>
      <c r="S122" s="322"/>
      <c r="T122" s="323"/>
      <c r="U122" s="323"/>
      <c r="V122" s="335"/>
      <c r="W122" s="289"/>
      <c r="X122" s="288"/>
      <c r="Y122" s="289"/>
      <c r="Z122" s="289"/>
      <c r="AA122" s="318"/>
      <c r="AB122" s="326"/>
      <c r="AC122" s="326"/>
      <c r="AD122" s="326"/>
      <c r="AE122" s="327"/>
      <c r="AF122" s="313"/>
      <c r="AG122" s="407"/>
      <c r="AH122" s="332"/>
      <c r="AI122" s="330"/>
      <c r="AJ122" s="313"/>
      <c r="AK122" s="331"/>
      <c r="AL122" s="364"/>
      <c r="AM122" s="313"/>
      <c r="AN122" s="332"/>
      <c r="AO122" s="288"/>
      <c r="AP122" s="395"/>
      <c r="AQ122" s="315"/>
      <c r="AR122" s="315"/>
      <c r="AS122" s="315"/>
      <c r="AT122" s="385"/>
      <c r="AU122" s="333"/>
      <c r="AV122" s="333"/>
      <c r="AW122" s="333"/>
      <c r="AX122" s="315"/>
      <c r="AY122" s="315"/>
      <c r="AZ122" s="315"/>
      <c r="BA122" s="315"/>
      <c r="BB122" s="315"/>
    </row>
    <row r="123" spans="1:56" s="334" customFormat="1" ht="24" customHeight="1">
      <c r="A123" s="313"/>
      <c r="B123" s="317"/>
      <c r="C123" s="318"/>
      <c r="D123" s="315"/>
      <c r="E123" s="288"/>
      <c r="F123" s="288"/>
      <c r="G123" s="288"/>
      <c r="H123" s="289"/>
      <c r="I123" s="289"/>
      <c r="J123" s="313"/>
      <c r="K123" s="313"/>
      <c r="L123" s="347"/>
      <c r="M123" s="353"/>
      <c r="N123" s="332"/>
      <c r="O123" s="315"/>
      <c r="P123" s="322"/>
      <c r="Q123" s="323"/>
      <c r="R123" s="323"/>
      <c r="S123" s="322"/>
      <c r="T123" s="323"/>
      <c r="U123" s="323"/>
      <c r="V123" s="288"/>
      <c r="W123" s="367"/>
      <c r="X123" s="288"/>
      <c r="Y123" s="289"/>
      <c r="Z123" s="289"/>
      <c r="AA123" s="362"/>
      <c r="AB123" s="326"/>
      <c r="AC123" s="326"/>
      <c r="AD123" s="326"/>
      <c r="AE123" s="327"/>
      <c r="AF123" s="313"/>
      <c r="AG123" s="313"/>
      <c r="AH123" s="332"/>
      <c r="AI123" s="330"/>
      <c r="AJ123" s="313"/>
      <c r="AK123" s="331"/>
      <c r="AL123" s="364"/>
      <c r="AM123" s="313"/>
      <c r="AN123" s="332"/>
      <c r="AO123" s="332"/>
      <c r="AP123" s="395"/>
      <c r="AQ123" s="315"/>
      <c r="AR123" s="315"/>
      <c r="AS123" s="315"/>
      <c r="AT123" s="385"/>
      <c r="AU123" s="333"/>
      <c r="AV123" s="333"/>
      <c r="AW123" s="333"/>
      <c r="AX123" s="315"/>
      <c r="AY123" s="315"/>
      <c r="AZ123" s="315"/>
      <c r="BA123" s="315"/>
      <c r="BB123" s="315"/>
    </row>
    <row r="124" spans="1:56" s="334" customFormat="1" ht="24" customHeight="1">
      <c r="A124" s="313"/>
      <c r="B124" s="317"/>
      <c r="C124" s="318"/>
      <c r="D124" s="315"/>
      <c r="E124" s="318"/>
      <c r="F124" s="339"/>
      <c r="G124" s="339"/>
      <c r="H124" s="289"/>
      <c r="I124" s="289"/>
      <c r="J124" s="313"/>
      <c r="K124" s="313"/>
      <c r="L124" s="347"/>
      <c r="M124" s="353"/>
      <c r="N124" s="332"/>
      <c r="O124" s="315"/>
      <c r="P124" s="322"/>
      <c r="Q124" s="323"/>
      <c r="R124" s="323"/>
      <c r="S124" s="322"/>
      <c r="T124" s="323"/>
      <c r="U124" s="323"/>
      <c r="V124" s="288"/>
      <c r="W124" s="367"/>
      <c r="X124" s="316"/>
      <c r="Y124" s="289"/>
      <c r="Z124" s="289"/>
      <c r="AA124" s="362"/>
      <c r="AB124" s="326"/>
      <c r="AC124" s="326"/>
      <c r="AD124" s="326"/>
      <c r="AE124" s="327"/>
      <c r="AF124" s="313"/>
      <c r="AG124" s="313"/>
      <c r="AH124" s="329"/>
      <c r="AI124" s="330"/>
      <c r="AJ124" s="313"/>
      <c r="AK124" s="331"/>
      <c r="AL124" s="364"/>
      <c r="AM124" s="316"/>
      <c r="AN124" s="332"/>
      <c r="AO124" s="332"/>
      <c r="AP124" s="395"/>
      <c r="AQ124" s="315"/>
      <c r="AR124" s="315"/>
      <c r="AS124" s="315"/>
      <c r="AT124" s="385"/>
      <c r="AU124" s="333"/>
      <c r="AV124" s="333"/>
      <c r="AW124" s="333"/>
      <c r="AX124" s="315"/>
      <c r="AY124" s="315"/>
      <c r="AZ124" s="315"/>
      <c r="BA124" s="315"/>
      <c r="BB124" s="315"/>
    </row>
    <row r="125" spans="1:56" s="334" customFormat="1" ht="24" customHeight="1">
      <c r="A125" s="313"/>
      <c r="B125" s="317"/>
      <c r="C125" s="318"/>
      <c r="D125" s="315"/>
      <c r="E125" s="318"/>
      <c r="F125" s="339"/>
      <c r="G125" s="339"/>
      <c r="H125" s="289"/>
      <c r="I125" s="289"/>
      <c r="J125" s="313"/>
      <c r="K125" s="313"/>
      <c r="L125" s="347"/>
      <c r="M125" s="353"/>
      <c r="N125" s="332"/>
      <c r="O125" s="315"/>
      <c r="P125" s="322"/>
      <c r="Q125" s="323"/>
      <c r="R125" s="323"/>
      <c r="S125" s="322"/>
      <c r="T125" s="323"/>
      <c r="U125" s="323"/>
      <c r="V125" s="288"/>
      <c r="W125" s="367"/>
      <c r="X125" s="316"/>
      <c r="Y125" s="289"/>
      <c r="Z125" s="289"/>
      <c r="AA125" s="362"/>
      <c r="AB125" s="326"/>
      <c r="AC125" s="326"/>
      <c r="AD125" s="326"/>
      <c r="AE125" s="327"/>
      <c r="AF125" s="313"/>
      <c r="AG125" s="313"/>
      <c r="AH125" s="329"/>
      <c r="AI125" s="330"/>
      <c r="AJ125" s="313"/>
      <c r="AK125" s="331"/>
      <c r="AL125" s="364"/>
      <c r="AM125" s="313"/>
      <c r="AN125" s="332"/>
      <c r="AO125" s="332"/>
      <c r="AP125" s="395"/>
      <c r="AQ125" s="315"/>
      <c r="AR125" s="315"/>
      <c r="AS125" s="315"/>
      <c r="AT125" s="385"/>
      <c r="AU125" s="333"/>
      <c r="AV125" s="333"/>
      <c r="AW125" s="333"/>
      <c r="AX125" s="315"/>
      <c r="AY125" s="315"/>
      <c r="AZ125" s="315"/>
      <c r="BA125" s="315"/>
      <c r="BB125" s="315"/>
    </row>
    <row r="126" spans="1:56" s="334" customFormat="1" ht="24" customHeight="1">
      <c r="A126" s="313"/>
      <c r="B126" s="317"/>
      <c r="C126" s="318"/>
      <c r="D126" s="315"/>
      <c r="E126" s="288"/>
      <c r="F126" s="288"/>
      <c r="G126" s="288"/>
      <c r="H126" s="289"/>
      <c r="I126" s="289"/>
      <c r="J126" s="313"/>
      <c r="K126" s="313"/>
      <c r="L126" s="347"/>
      <c r="M126" s="353"/>
      <c r="N126" s="332"/>
      <c r="O126" s="315"/>
      <c r="P126" s="322"/>
      <c r="Q126" s="323"/>
      <c r="R126" s="323"/>
      <c r="S126" s="322"/>
      <c r="T126" s="323"/>
      <c r="U126" s="323"/>
      <c r="V126" s="288"/>
      <c r="W126" s="367"/>
      <c r="X126" s="316"/>
      <c r="Y126" s="289"/>
      <c r="Z126" s="289"/>
      <c r="AA126" s="362"/>
      <c r="AB126" s="326"/>
      <c r="AC126" s="326"/>
      <c r="AD126" s="326"/>
      <c r="AE126" s="327"/>
      <c r="AF126" s="313"/>
      <c r="AG126" s="313"/>
      <c r="AH126" s="329"/>
      <c r="AI126" s="330"/>
      <c r="AJ126" s="313"/>
      <c r="AK126" s="331"/>
      <c r="AL126" s="364"/>
      <c r="AM126" s="313"/>
      <c r="AN126" s="332"/>
      <c r="AO126" s="332"/>
      <c r="AP126" s="369"/>
      <c r="AQ126" s="315"/>
      <c r="AR126" s="315"/>
      <c r="AS126" s="315"/>
      <c r="AT126" s="385"/>
      <c r="AU126" s="333"/>
      <c r="AV126" s="333"/>
      <c r="AW126" s="333"/>
      <c r="AX126" s="315"/>
      <c r="AY126" s="315"/>
      <c r="AZ126" s="315"/>
      <c r="BA126" s="315"/>
      <c r="BB126" s="315"/>
    </row>
    <row r="127" spans="1:56" s="334" customFormat="1" ht="24" customHeight="1">
      <c r="A127" s="313"/>
      <c r="B127" s="317"/>
      <c r="C127" s="318"/>
      <c r="D127" s="315"/>
      <c r="E127" s="318"/>
      <c r="F127" s="339"/>
      <c r="G127" s="339"/>
      <c r="H127" s="289"/>
      <c r="I127" s="289"/>
      <c r="J127" s="313"/>
      <c r="K127" s="313"/>
      <c r="L127" s="347"/>
      <c r="M127" s="353"/>
      <c r="N127" s="332"/>
      <c r="O127" s="315"/>
      <c r="P127" s="322"/>
      <c r="Q127" s="323"/>
      <c r="R127" s="323"/>
      <c r="S127" s="322"/>
      <c r="T127" s="323"/>
      <c r="U127" s="323"/>
      <c r="V127" s="288"/>
      <c r="W127" s="367"/>
      <c r="X127" s="316"/>
      <c r="Y127" s="289"/>
      <c r="Z127" s="289"/>
      <c r="AA127" s="362"/>
      <c r="AB127" s="326"/>
      <c r="AC127" s="326"/>
      <c r="AD127" s="326"/>
      <c r="AE127" s="327"/>
      <c r="AF127" s="313"/>
      <c r="AG127" s="313"/>
      <c r="AH127" s="329"/>
      <c r="AI127" s="330"/>
      <c r="AJ127" s="313"/>
      <c r="AK127" s="331"/>
      <c r="AL127" s="364"/>
      <c r="AM127" s="313"/>
      <c r="AN127" s="332"/>
      <c r="AO127" s="332"/>
      <c r="AP127" s="395"/>
      <c r="AQ127" s="315"/>
      <c r="AR127" s="315"/>
      <c r="AS127" s="315"/>
      <c r="AT127" s="385"/>
      <c r="AU127" s="333"/>
      <c r="AV127" s="333"/>
      <c r="AW127" s="333"/>
      <c r="AX127" s="315"/>
      <c r="AY127" s="315"/>
      <c r="AZ127" s="315"/>
      <c r="BA127" s="315"/>
      <c r="BB127" s="315"/>
    </row>
    <row r="128" spans="1:56" s="334" customFormat="1" ht="24" customHeight="1">
      <c r="A128" s="313"/>
      <c r="B128" s="317"/>
      <c r="C128" s="318"/>
      <c r="D128" s="315"/>
      <c r="E128" s="318"/>
      <c r="F128" s="339"/>
      <c r="G128" s="339"/>
      <c r="H128" s="289"/>
      <c r="I128" s="289"/>
      <c r="J128" s="313"/>
      <c r="K128" s="313"/>
      <c r="L128" s="347"/>
      <c r="M128" s="353"/>
      <c r="N128" s="332"/>
      <c r="O128" s="315"/>
      <c r="P128" s="322"/>
      <c r="Q128" s="322"/>
      <c r="R128" s="322"/>
      <c r="S128" s="322"/>
      <c r="T128" s="323"/>
      <c r="U128" s="323"/>
      <c r="V128" s="288"/>
      <c r="W128" s="367"/>
      <c r="X128" s="316"/>
      <c r="Y128" s="289"/>
      <c r="Z128" s="289"/>
      <c r="AA128" s="362"/>
      <c r="AB128" s="326"/>
      <c r="AC128" s="326"/>
      <c r="AD128" s="326"/>
      <c r="AE128" s="327"/>
      <c r="AF128" s="313"/>
      <c r="AG128" s="313"/>
      <c r="AH128" s="329"/>
      <c r="AI128" s="330"/>
      <c r="AJ128" s="313"/>
      <c r="AK128" s="331"/>
      <c r="AL128" s="364"/>
      <c r="AM128" s="313"/>
      <c r="AN128" s="332"/>
      <c r="AO128" s="332"/>
      <c r="AP128" s="395"/>
      <c r="AQ128" s="315"/>
      <c r="AR128" s="315"/>
      <c r="AS128" s="315"/>
      <c r="AT128" s="385"/>
      <c r="AU128" s="333"/>
      <c r="AV128" s="333"/>
      <c r="AW128" s="333"/>
      <c r="AX128" s="315"/>
      <c r="AY128" s="315"/>
      <c r="AZ128" s="315"/>
      <c r="BA128" s="315"/>
      <c r="BB128" s="315"/>
    </row>
    <row r="129" spans="1:54" s="334" customFormat="1" ht="24" customHeight="1">
      <c r="A129" s="313"/>
      <c r="B129" s="317"/>
      <c r="C129" s="288"/>
      <c r="D129" s="315"/>
      <c r="E129" s="341"/>
      <c r="F129" s="288"/>
      <c r="G129" s="354"/>
      <c r="H129" s="289"/>
      <c r="I129" s="289"/>
      <c r="J129" s="313"/>
      <c r="K129" s="313"/>
      <c r="L129" s="347"/>
      <c r="M129" s="353"/>
      <c r="N129" s="332"/>
      <c r="O129" s="315"/>
      <c r="P129" s="322"/>
      <c r="Q129" s="323"/>
      <c r="R129" s="322"/>
      <c r="S129" s="322"/>
      <c r="T129" s="323"/>
      <c r="U129" s="323"/>
      <c r="V129" s="288"/>
      <c r="W129" s="367"/>
      <c r="X129" s="316"/>
      <c r="Y129" s="289"/>
      <c r="Z129" s="289"/>
      <c r="AA129" s="362"/>
      <c r="AB129" s="326"/>
      <c r="AC129" s="326"/>
      <c r="AD129" s="326"/>
      <c r="AE129" s="327"/>
      <c r="AF129" s="313"/>
      <c r="AG129" s="407"/>
      <c r="AH129" s="332"/>
      <c r="AI129" s="330"/>
      <c r="AJ129" s="313"/>
      <c r="AK129" s="363"/>
      <c r="AL129" s="364"/>
      <c r="AM129" s="316"/>
      <c r="AN129" s="332"/>
      <c r="AO129" s="288"/>
      <c r="AP129" s="289"/>
      <c r="AQ129" s="315"/>
      <c r="AR129" s="315"/>
      <c r="AS129" s="315"/>
      <c r="AT129" s="385"/>
      <c r="AU129" s="333"/>
      <c r="AV129" s="333"/>
      <c r="AW129" s="333"/>
      <c r="AX129" s="315"/>
      <c r="AY129" s="315"/>
      <c r="AZ129" s="315"/>
      <c r="BA129" s="315"/>
      <c r="BB129" s="315"/>
    </row>
    <row r="130" spans="1:54" s="334" customFormat="1" ht="24" customHeight="1">
      <c r="A130" s="313"/>
      <c r="B130" s="317"/>
      <c r="C130" s="288"/>
      <c r="D130" s="315"/>
      <c r="E130" s="341"/>
      <c r="F130" s="288"/>
      <c r="G130" s="354"/>
      <c r="H130" s="289"/>
      <c r="I130" s="289"/>
      <c r="J130" s="313"/>
      <c r="K130" s="313"/>
      <c r="L130" s="347"/>
      <c r="M130" s="353"/>
      <c r="N130" s="332"/>
      <c r="O130" s="315"/>
      <c r="P130" s="322"/>
      <c r="Q130" s="322"/>
      <c r="R130" s="322"/>
      <c r="S130" s="322"/>
      <c r="T130" s="323"/>
      <c r="U130" s="323"/>
      <c r="V130" s="288"/>
      <c r="W130" s="367"/>
      <c r="X130" s="316"/>
      <c r="Y130" s="289"/>
      <c r="Z130" s="289"/>
      <c r="AA130" s="362"/>
      <c r="AB130" s="326"/>
      <c r="AC130" s="326"/>
      <c r="AD130" s="326"/>
      <c r="AE130" s="327"/>
      <c r="AF130" s="313"/>
      <c r="AG130" s="407"/>
      <c r="AH130" s="332"/>
      <c r="AI130" s="330"/>
      <c r="AJ130" s="313"/>
      <c r="AK130" s="363"/>
      <c r="AL130" s="364"/>
      <c r="AM130" s="313"/>
      <c r="AN130" s="332"/>
      <c r="AO130" s="288"/>
      <c r="AP130" s="289"/>
      <c r="AQ130" s="315"/>
      <c r="AR130" s="315"/>
      <c r="AS130" s="315"/>
      <c r="AT130" s="385"/>
      <c r="AU130" s="333"/>
      <c r="AV130" s="333"/>
      <c r="AW130" s="333"/>
      <c r="AX130" s="315"/>
      <c r="AY130" s="315"/>
      <c r="AZ130" s="315"/>
      <c r="BA130" s="315"/>
      <c r="BB130" s="315"/>
    </row>
    <row r="131" spans="1:54" s="334" customFormat="1" ht="24" customHeight="1">
      <c r="A131" s="313"/>
      <c r="B131" s="317"/>
      <c r="C131" s="288"/>
      <c r="D131" s="315"/>
      <c r="E131" s="341"/>
      <c r="F131" s="288"/>
      <c r="G131" s="354"/>
      <c r="H131" s="289"/>
      <c r="I131" s="289"/>
      <c r="J131" s="313"/>
      <c r="K131" s="313"/>
      <c r="L131" s="347"/>
      <c r="M131" s="353"/>
      <c r="N131" s="332"/>
      <c r="O131" s="315"/>
      <c r="P131" s="322"/>
      <c r="Q131" s="322"/>
      <c r="R131" s="322"/>
      <c r="S131" s="322"/>
      <c r="T131" s="323"/>
      <c r="U131" s="323"/>
      <c r="V131" s="288"/>
      <c r="W131" s="367"/>
      <c r="X131" s="316"/>
      <c r="Y131" s="289"/>
      <c r="Z131" s="289"/>
      <c r="AA131" s="362"/>
      <c r="AB131" s="326"/>
      <c r="AC131" s="326"/>
      <c r="AD131" s="326"/>
      <c r="AE131" s="327"/>
      <c r="AF131" s="313"/>
      <c r="AG131" s="407"/>
      <c r="AH131" s="329"/>
      <c r="AI131" s="330"/>
      <c r="AJ131" s="313"/>
      <c r="AK131" s="331"/>
      <c r="AL131" s="364"/>
      <c r="AM131" s="313"/>
      <c r="AN131" s="332"/>
      <c r="AO131" s="288"/>
      <c r="AP131" s="289"/>
      <c r="AQ131" s="315"/>
      <c r="AR131" s="315"/>
      <c r="AS131" s="315"/>
      <c r="AT131" s="385"/>
      <c r="AU131" s="333"/>
      <c r="AV131" s="333"/>
      <c r="AW131" s="333"/>
      <c r="AX131" s="315"/>
      <c r="AY131" s="315"/>
      <c r="AZ131" s="315"/>
      <c r="BA131" s="315"/>
      <c r="BB131" s="315"/>
    </row>
    <row r="132" spans="1:54" s="334" customFormat="1" ht="24" customHeight="1">
      <c r="A132" s="313"/>
      <c r="B132" s="317"/>
      <c r="C132" s="288"/>
      <c r="D132" s="315"/>
      <c r="E132" s="341"/>
      <c r="F132" s="288"/>
      <c r="G132" s="354"/>
      <c r="H132" s="350"/>
      <c r="I132" s="350"/>
      <c r="J132" s="313"/>
      <c r="K132" s="313"/>
      <c r="L132" s="347"/>
      <c r="M132" s="338"/>
      <c r="N132" s="332"/>
      <c r="O132" s="315"/>
      <c r="P132" s="322"/>
      <c r="Q132" s="322"/>
      <c r="R132" s="322"/>
      <c r="S132" s="322"/>
      <c r="T132" s="323"/>
      <c r="U132" s="323"/>
      <c r="V132" s="288"/>
      <c r="W132" s="367"/>
      <c r="X132" s="316"/>
      <c r="Y132" s="351"/>
      <c r="Z132" s="351"/>
      <c r="AA132" s="404"/>
      <c r="AB132" s="326"/>
      <c r="AC132" s="326"/>
      <c r="AD132" s="326"/>
      <c r="AE132" s="327"/>
      <c r="AF132" s="313"/>
      <c r="AG132" s="313"/>
      <c r="AH132" s="329"/>
      <c r="AI132" s="330"/>
      <c r="AJ132" s="313"/>
      <c r="AK132" s="331"/>
      <c r="AL132" s="364"/>
      <c r="AM132" s="313"/>
      <c r="AN132" s="332"/>
      <c r="AO132" s="288"/>
      <c r="AP132" s="289"/>
      <c r="AQ132" s="315"/>
      <c r="AR132" s="315"/>
      <c r="AS132" s="315"/>
      <c r="AT132" s="392"/>
      <c r="AU132" s="333"/>
      <c r="AV132" s="333"/>
      <c r="AW132" s="333"/>
      <c r="AX132" s="380"/>
      <c r="AY132" s="315"/>
      <c r="AZ132" s="315"/>
      <c r="BA132" s="386"/>
      <c r="BB132" s="386"/>
    </row>
    <row r="133" spans="1:54" s="334" customFormat="1" ht="24" customHeight="1">
      <c r="A133" s="313"/>
      <c r="B133" s="317"/>
      <c r="C133" s="288"/>
      <c r="D133" s="315"/>
      <c r="E133" s="341"/>
      <c r="F133" s="288"/>
      <c r="G133" s="354"/>
      <c r="H133" s="350"/>
      <c r="I133" s="350"/>
      <c r="J133" s="313"/>
      <c r="K133" s="313"/>
      <c r="L133" s="347"/>
      <c r="M133" s="347"/>
      <c r="N133" s="332"/>
      <c r="O133" s="315"/>
      <c r="P133" s="322"/>
      <c r="Q133" s="322"/>
      <c r="R133" s="322"/>
      <c r="S133" s="322"/>
      <c r="T133" s="323"/>
      <c r="U133" s="323"/>
      <c r="V133" s="288"/>
      <c r="W133" s="367"/>
      <c r="X133" s="316"/>
      <c r="Y133" s="351"/>
      <c r="Z133" s="351"/>
      <c r="AA133" s="396"/>
      <c r="AB133" s="326"/>
      <c r="AC133" s="326"/>
      <c r="AD133" s="326"/>
      <c r="AE133" s="327"/>
      <c r="AF133" s="313"/>
      <c r="AG133" s="407"/>
      <c r="AH133" s="329"/>
      <c r="AI133" s="330"/>
      <c r="AJ133" s="313"/>
      <c r="AK133" s="331"/>
      <c r="AL133" s="364"/>
      <c r="AM133" s="313"/>
      <c r="AN133" s="332"/>
      <c r="AO133" s="288"/>
      <c r="AP133" s="289"/>
      <c r="AQ133" s="315"/>
      <c r="AR133" s="315"/>
      <c r="AS133" s="315"/>
      <c r="AT133" s="392"/>
      <c r="AU133" s="333"/>
      <c r="AV133" s="333"/>
      <c r="AW133" s="333"/>
      <c r="AX133" s="380"/>
      <c r="AY133" s="315"/>
      <c r="AZ133" s="315"/>
      <c r="BA133" s="386"/>
      <c r="BB133" s="386"/>
    </row>
    <row r="134" spans="1:54" s="334" customFormat="1" ht="24" customHeight="1">
      <c r="A134" s="313"/>
      <c r="B134" s="317"/>
      <c r="C134" s="288"/>
      <c r="D134" s="315"/>
      <c r="E134" s="288"/>
      <c r="F134" s="288"/>
      <c r="G134" s="288"/>
      <c r="H134" s="350"/>
      <c r="I134" s="350"/>
      <c r="J134" s="313"/>
      <c r="K134" s="313"/>
      <c r="L134" s="347"/>
      <c r="M134" s="347"/>
      <c r="N134" s="332"/>
      <c r="O134" s="315"/>
      <c r="P134" s="322"/>
      <c r="Q134" s="322"/>
      <c r="R134" s="322"/>
      <c r="S134" s="322"/>
      <c r="T134" s="323"/>
      <c r="U134" s="323"/>
      <c r="V134" s="288"/>
      <c r="W134" s="367"/>
      <c r="X134" s="316"/>
      <c r="Y134" s="351"/>
      <c r="Z134" s="351"/>
      <c r="AA134" s="396"/>
      <c r="AB134" s="326"/>
      <c r="AC134" s="326"/>
      <c r="AD134" s="326"/>
      <c r="AE134" s="327"/>
      <c r="AF134" s="313"/>
      <c r="AG134" s="407"/>
      <c r="AH134" s="329"/>
      <c r="AI134" s="330"/>
      <c r="AJ134" s="313"/>
      <c r="AK134" s="331"/>
      <c r="AL134" s="364"/>
      <c r="AM134" s="313"/>
      <c r="AN134" s="332"/>
      <c r="AO134" s="288"/>
      <c r="AP134" s="289"/>
      <c r="AQ134" s="315"/>
      <c r="AR134" s="315"/>
      <c r="AS134" s="315"/>
      <c r="AT134" s="392"/>
      <c r="AU134" s="333"/>
      <c r="AV134" s="333"/>
      <c r="AW134" s="333"/>
      <c r="AX134" s="380"/>
      <c r="AY134" s="315"/>
      <c r="AZ134" s="315"/>
      <c r="BA134" s="386"/>
      <c r="BB134" s="386"/>
    </row>
    <row r="135" spans="1:54" s="334" customFormat="1" ht="24" customHeight="1">
      <c r="A135" s="313"/>
      <c r="B135" s="317"/>
      <c r="C135" s="288"/>
      <c r="D135" s="315"/>
      <c r="E135" s="288"/>
      <c r="F135" s="288"/>
      <c r="G135" s="288"/>
      <c r="H135" s="350"/>
      <c r="I135" s="350"/>
      <c r="J135" s="313"/>
      <c r="K135" s="313"/>
      <c r="L135" s="347"/>
      <c r="M135" s="353"/>
      <c r="N135" s="332"/>
      <c r="O135" s="315"/>
      <c r="P135" s="322"/>
      <c r="Q135" s="322"/>
      <c r="R135" s="322"/>
      <c r="S135" s="322"/>
      <c r="T135" s="323"/>
      <c r="U135" s="323"/>
      <c r="V135" s="313"/>
      <c r="W135" s="367"/>
      <c r="X135" s="316"/>
      <c r="Y135" s="351"/>
      <c r="Z135" s="351"/>
      <c r="AA135" s="396"/>
      <c r="AB135" s="326"/>
      <c r="AC135" s="326"/>
      <c r="AD135" s="326"/>
      <c r="AE135" s="327"/>
      <c r="AF135" s="313"/>
      <c r="AG135" s="407"/>
      <c r="AH135" s="329"/>
      <c r="AI135" s="330"/>
      <c r="AJ135" s="313"/>
      <c r="AK135" s="331"/>
      <c r="AL135" s="364"/>
      <c r="AM135" s="313"/>
      <c r="AN135" s="332"/>
      <c r="AO135" s="288"/>
      <c r="AP135" s="369"/>
      <c r="AQ135" s="315"/>
      <c r="AR135" s="315"/>
      <c r="AS135" s="315"/>
      <c r="AT135" s="392"/>
      <c r="AU135" s="333"/>
      <c r="AV135" s="333"/>
      <c r="AW135" s="333"/>
      <c r="AX135" s="380"/>
      <c r="AY135" s="315"/>
      <c r="AZ135" s="315"/>
      <c r="BA135" s="386"/>
      <c r="BB135" s="386"/>
    </row>
    <row r="136" spans="1:54" s="334" customFormat="1" ht="24" customHeight="1">
      <c r="A136" s="313"/>
      <c r="B136" s="317"/>
      <c r="C136" s="288"/>
      <c r="D136" s="315"/>
      <c r="E136" s="288"/>
      <c r="F136" s="288"/>
      <c r="G136" s="288"/>
      <c r="H136" s="350"/>
      <c r="I136" s="350"/>
      <c r="J136" s="313"/>
      <c r="K136" s="313"/>
      <c r="L136" s="347"/>
      <c r="M136" s="347"/>
      <c r="N136" s="332"/>
      <c r="O136" s="315"/>
      <c r="P136" s="322"/>
      <c r="Q136" s="323"/>
      <c r="R136" s="323"/>
      <c r="S136" s="322"/>
      <c r="T136" s="323"/>
      <c r="U136" s="323"/>
      <c r="V136" s="288"/>
      <c r="W136" s="367"/>
      <c r="X136" s="316"/>
      <c r="Y136" s="351"/>
      <c r="Z136" s="351"/>
      <c r="AA136" s="396"/>
      <c r="AB136" s="326"/>
      <c r="AC136" s="326"/>
      <c r="AD136" s="326"/>
      <c r="AE136" s="327"/>
      <c r="AF136" s="313"/>
      <c r="AG136" s="407"/>
      <c r="AH136" s="329"/>
      <c r="AI136" s="330"/>
      <c r="AJ136" s="313"/>
      <c r="AK136" s="331"/>
      <c r="AL136" s="364"/>
      <c r="AM136" s="313"/>
      <c r="AN136" s="332"/>
      <c r="AO136" s="288"/>
      <c r="AP136" s="369"/>
      <c r="AQ136" s="315"/>
      <c r="AR136" s="315"/>
      <c r="AS136" s="315"/>
      <c r="AT136" s="392"/>
      <c r="AU136" s="333"/>
      <c r="AV136" s="333"/>
      <c r="AW136" s="333"/>
      <c r="AX136" s="380"/>
      <c r="AY136" s="315"/>
      <c r="AZ136" s="315"/>
      <c r="BA136" s="386"/>
      <c r="BB136" s="386"/>
    </row>
    <row r="137" spans="1:54" s="334" customFormat="1" ht="24" customHeight="1">
      <c r="A137" s="313"/>
      <c r="B137" s="317"/>
      <c r="C137" s="288"/>
      <c r="D137" s="315"/>
      <c r="E137" s="288"/>
      <c r="F137" s="288"/>
      <c r="G137" s="288"/>
      <c r="H137" s="350"/>
      <c r="I137" s="350"/>
      <c r="J137" s="313"/>
      <c r="K137" s="313"/>
      <c r="L137" s="347"/>
      <c r="M137" s="353"/>
      <c r="N137" s="332"/>
      <c r="O137" s="315"/>
      <c r="P137" s="322"/>
      <c r="Q137" s="323"/>
      <c r="R137" s="323"/>
      <c r="S137" s="322"/>
      <c r="T137" s="323"/>
      <c r="U137" s="323"/>
      <c r="V137" s="288"/>
      <c r="W137" s="367"/>
      <c r="X137" s="316"/>
      <c r="Y137" s="351"/>
      <c r="Z137" s="351"/>
      <c r="AA137" s="396"/>
      <c r="AB137" s="326"/>
      <c r="AC137" s="326"/>
      <c r="AD137" s="326"/>
      <c r="AE137" s="327"/>
      <c r="AF137" s="313"/>
      <c r="AG137" s="407"/>
      <c r="AH137" s="329"/>
      <c r="AI137" s="330"/>
      <c r="AJ137" s="313"/>
      <c r="AK137" s="331"/>
      <c r="AL137" s="364"/>
      <c r="AM137" s="313"/>
      <c r="AN137" s="332"/>
      <c r="AO137" s="288"/>
      <c r="AP137" s="369"/>
      <c r="AQ137" s="315"/>
      <c r="AR137" s="315"/>
      <c r="AS137" s="315"/>
      <c r="AT137" s="392"/>
      <c r="AU137" s="333"/>
      <c r="AV137" s="333"/>
      <c r="AW137" s="333"/>
      <c r="AX137" s="380"/>
      <c r="AY137" s="315"/>
      <c r="AZ137" s="315"/>
      <c r="BA137" s="386"/>
      <c r="BB137" s="386"/>
    </row>
    <row r="138" spans="1:54" s="334" customFormat="1" ht="24" customHeight="1">
      <c r="A138" s="313"/>
      <c r="B138" s="317"/>
      <c r="C138" s="314"/>
      <c r="D138" s="315"/>
      <c r="E138" s="335"/>
      <c r="F138" s="346"/>
      <c r="G138" s="348"/>
      <c r="H138" s="350"/>
      <c r="I138" s="350"/>
      <c r="J138" s="313"/>
      <c r="K138" s="313"/>
      <c r="L138" s="400"/>
      <c r="M138" s="400"/>
      <c r="N138" s="332"/>
      <c r="O138" s="315"/>
      <c r="P138" s="322"/>
      <c r="Q138" s="323"/>
      <c r="R138" s="323"/>
      <c r="S138" s="322"/>
      <c r="T138" s="323"/>
      <c r="U138" s="323"/>
      <c r="V138" s="335"/>
      <c r="W138" s="289"/>
      <c r="X138" s="316"/>
      <c r="Y138" s="289"/>
      <c r="Z138" s="289"/>
      <c r="AA138" s="362"/>
      <c r="AB138" s="326"/>
      <c r="AC138" s="326"/>
      <c r="AD138" s="326"/>
      <c r="AE138" s="327"/>
      <c r="AF138" s="313"/>
      <c r="AG138" s="407"/>
      <c r="AH138" s="332"/>
      <c r="AI138" s="330"/>
      <c r="AJ138" s="313"/>
      <c r="AK138" s="331"/>
      <c r="AL138" s="364"/>
      <c r="AM138" s="313"/>
      <c r="AN138" s="332"/>
      <c r="AO138" s="288"/>
      <c r="AP138" s="398"/>
      <c r="AQ138" s="315"/>
      <c r="AR138" s="315"/>
      <c r="AS138" s="315"/>
      <c r="AT138" s="385"/>
      <c r="AU138" s="333"/>
      <c r="AV138" s="333"/>
      <c r="AW138" s="333"/>
      <c r="AX138" s="315"/>
      <c r="AY138" s="315"/>
      <c r="AZ138" s="315"/>
      <c r="BA138" s="315"/>
      <c r="BB138" s="315"/>
    </row>
    <row r="139" spans="1:54" s="334" customFormat="1" ht="24" customHeight="1">
      <c r="A139" s="313"/>
      <c r="B139" s="317"/>
      <c r="C139" s="314"/>
      <c r="D139" s="315"/>
      <c r="E139" s="335"/>
      <c r="F139" s="346"/>
      <c r="G139" s="348"/>
      <c r="H139" s="350"/>
      <c r="I139" s="350"/>
      <c r="J139" s="313"/>
      <c r="K139" s="313"/>
      <c r="L139" s="400"/>
      <c r="M139" s="400"/>
      <c r="N139" s="332"/>
      <c r="O139" s="315"/>
      <c r="P139" s="322"/>
      <c r="Q139" s="323"/>
      <c r="R139" s="323"/>
      <c r="S139" s="322"/>
      <c r="T139" s="323"/>
      <c r="U139" s="323"/>
      <c r="V139" s="335"/>
      <c r="W139" s="289"/>
      <c r="X139" s="316"/>
      <c r="Y139" s="289"/>
      <c r="Z139" s="289"/>
      <c r="AA139" s="362"/>
      <c r="AB139" s="326"/>
      <c r="AC139" s="326"/>
      <c r="AD139" s="326"/>
      <c r="AE139" s="327"/>
      <c r="AF139" s="313"/>
      <c r="AG139" s="407"/>
      <c r="AH139" s="332"/>
      <c r="AI139" s="330"/>
      <c r="AJ139" s="313"/>
      <c r="AK139" s="331"/>
      <c r="AL139" s="364"/>
      <c r="AM139" s="313"/>
      <c r="AN139" s="332"/>
      <c r="AO139" s="288"/>
      <c r="AP139" s="398"/>
      <c r="AQ139" s="315"/>
      <c r="AR139" s="315"/>
      <c r="AS139" s="315"/>
      <c r="AT139" s="385"/>
      <c r="AU139" s="333"/>
      <c r="AV139" s="333"/>
      <c r="AW139" s="333"/>
      <c r="AX139" s="315"/>
      <c r="AY139" s="315"/>
      <c r="AZ139" s="315"/>
      <c r="BA139" s="315"/>
      <c r="BB139" s="315"/>
    </row>
    <row r="140" spans="1:54" s="334" customFormat="1" ht="24" customHeight="1">
      <c r="A140" s="313"/>
      <c r="B140" s="317"/>
      <c r="C140" s="318"/>
      <c r="D140" s="315"/>
      <c r="E140" s="318"/>
      <c r="F140" s="339"/>
      <c r="G140" s="339"/>
      <c r="H140" s="289"/>
      <c r="I140" s="289"/>
      <c r="J140" s="313"/>
      <c r="K140" s="313"/>
      <c r="L140" s="347"/>
      <c r="M140" s="353"/>
      <c r="N140" s="332"/>
      <c r="O140" s="315"/>
      <c r="P140" s="322"/>
      <c r="Q140" s="322"/>
      <c r="R140" s="322"/>
      <c r="S140" s="322"/>
      <c r="T140" s="323"/>
      <c r="U140" s="323"/>
      <c r="V140" s="288"/>
      <c r="W140" s="367"/>
      <c r="X140" s="316"/>
      <c r="Y140" s="289"/>
      <c r="Z140" s="289"/>
      <c r="AA140" s="362"/>
      <c r="AB140" s="326"/>
      <c r="AC140" s="326"/>
      <c r="AD140" s="326"/>
      <c r="AE140" s="327"/>
      <c r="AF140" s="313"/>
      <c r="AG140" s="313"/>
      <c r="AH140" s="329"/>
      <c r="AI140" s="330"/>
      <c r="AJ140" s="313"/>
      <c r="AK140" s="331"/>
      <c r="AL140" s="364"/>
      <c r="AM140" s="313"/>
      <c r="AN140" s="332"/>
      <c r="AO140" s="332"/>
      <c r="AP140" s="395"/>
      <c r="AQ140" s="315"/>
      <c r="AR140" s="315"/>
      <c r="AS140" s="315"/>
      <c r="AT140" s="385"/>
      <c r="AU140" s="333"/>
      <c r="AV140" s="333"/>
      <c r="AW140" s="333"/>
      <c r="AX140" s="315"/>
      <c r="AY140" s="315"/>
      <c r="AZ140" s="315"/>
      <c r="BA140" s="315"/>
      <c r="BB140" s="315"/>
    </row>
    <row r="141" spans="1:54" s="334" customFormat="1" ht="24" customHeight="1">
      <c r="A141" s="313"/>
      <c r="B141" s="317"/>
      <c r="C141" s="318"/>
      <c r="D141" s="315"/>
      <c r="E141" s="318"/>
      <c r="F141" s="339"/>
      <c r="G141" s="339"/>
      <c r="H141" s="289"/>
      <c r="I141" s="289"/>
      <c r="J141" s="313"/>
      <c r="K141" s="313"/>
      <c r="L141" s="347"/>
      <c r="M141" s="353"/>
      <c r="N141" s="332"/>
      <c r="O141" s="315"/>
      <c r="P141" s="322"/>
      <c r="Q141" s="322"/>
      <c r="R141" s="322"/>
      <c r="S141" s="322"/>
      <c r="T141" s="323"/>
      <c r="U141" s="323"/>
      <c r="V141" s="288"/>
      <c r="W141" s="367"/>
      <c r="X141" s="316"/>
      <c r="Y141" s="289"/>
      <c r="Z141" s="289"/>
      <c r="AA141" s="362"/>
      <c r="AB141" s="326"/>
      <c r="AC141" s="326"/>
      <c r="AD141" s="326"/>
      <c r="AE141" s="327"/>
      <c r="AF141" s="313"/>
      <c r="AG141" s="313"/>
      <c r="AH141" s="329"/>
      <c r="AI141" s="330"/>
      <c r="AJ141" s="313"/>
      <c r="AK141" s="331"/>
      <c r="AL141" s="364"/>
      <c r="AM141" s="313"/>
      <c r="AN141" s="332"/>
      <c r="AO141" s="332"/>
      <c r="AP141" s="395"/>
      <c r="AQ141" s="315"/>
      <c r="AR141" s="315"/>
      <c r="AS141" s="315"/>
      <c r="AT141" s="385"/>
      <c r="AU141" s="333"/>
      <c r="AV141" s="333"/>
      <c r="AW141" s="333"/>
      <c r="AX141" s="315"/>
      <c r="AY141" s="315"/>
      <c r="AZ141" s="315"/>
      <c r="BA141" s="315"/>
      <c r="BB141" s="315"/>
    </row>
    <row r="142" spans="1:54" s="334" customFormat="1" ht="24" customHeight="1">
      <c r="A142" s="313"/>
      <c r="B142" s="317"/>
      <c r="C142" s="318"/>
      <c r="D142" s="315"/>
      <c r="E142" s="318"/>
      <c r="F142" s="339"/>
      <c r="G142" s="339"/>
      <c r="H142" s="350"/>
      <c r="I142" s="350"/>
      <c r="J142" s="313"/>
      <c r="K142" s="313"/>
      <c r="L142" s="347"/>
      <c r="M142" s="353"/>
      <c r="N142" s="332"/>
      <c r="O142" s="315"/>
      <c r="P142" s="322"/>
      <c r="Q142" s="322"/>
      <c r="R142" s="322"/>
      <c r="S142" s="322"/>
      <c r="T142" s="323"/>
      <c r="U142" s="323"/>
      <c r="V142" s="288"/>
      <c r="W142" s="367"/>
      <c r="X142" s="316"/>
      <c r="Y142" s="289"/>
      <c r="Z142" s="289"/>
      <c r="AA142" s="362"/>
      <c r="AB142" s="326"/>
      <c r="AC142" s="326"/>
      <c r="AD142" s="326"/>
      <c r="AE142" s="327"/>
      <c r="AF142" s="313"/>
      <c r="AG142" s="313"/>
      <c r="AH142" s="329"/>
      <c r="AI142" s="330"/>
      <c r="AJ142" s="313"/>
      <c r="AK142" s="331"/>
      <c r="AL142" s="364"/>
      <c r="AM142" s="313"/>
      <c r="AN142" s="332"/>
      <c r="AO142" s="332"/>
      <c r="AP142" s="395"/>
      <c r="AQ142" s="315"/>
      <c r="AR142" s="315"/>
      <c r="AS142" s="315"/>
      <c r="AT142" s="385"/>
      <c r="AU142" s="333"/>
      <c r="AV142" s="333"/>
      <c r="AW142" s="333"/>
      <c r="AX142" s="315"/>
      <c r="AY142" s="315"/>
      <c r="AZ142" s="315"/>
      <c r="BA142" s="315"/>
      <c r="BB142" s="315"/>
    </row>
    <row r="143" spans="1:54" s="334" customFormat="1" ht="24" customHeight="1">
      <c r="A143" s="313"/>
      <c r="B143" s="317"/>
      <c r="C143" s="318"/>
      <c r="D143" s="315"/>
      <c r="E143" s="318"/>
      <c r="F143" s="339"/>
      <c r="G143" s="339"/>
      <c r="H143" s="289"/>
      <c r="I143" s="289"/>
      <c r="J143" s="313"/>
      <c r="K143" s="313"/>
      <c r="L143" s="347"/>
      <c r="M143" s="353"/>
      <c r="N143" s="332"/>
      <c r="O143" s="315"/>
      <c r="P143" s="322"/>
      <c r="Q143" s="322"/>
      <c r="R143" s="322"/>
      <c r="S143" s="322"/>
      <c r="T143" s="323"/>
      <c r="U143" s="323"/>
      <c r="V143" s="288"/>
      <c r="W143" s="367"/>
      <c r="X143" s="316"/>
      <c r="Y143" s="289"/>
      <c r="Z143" s="289"/>
      <c r="AA143" s="362"/>
      <c r="AB143" s="326"/>
      <c r="AC143" s="326"/>
      <c r="AD143" s="326"/>
      <c r="AE143" s="327"/>
      <c r="AF143" s="313"/>
      <c r="AG143" s="313"/>
      <c r="AH143" s="329"/>
      <c r="AI143" s="330"/>
      <c r="AJ143" s="313"/>
      <c r="AK143" s="331"/>
      <c r="AL143" s="364"/>
      <c r="AM143" s="313"/>
      <c r="AN143" s="332"/>
      <c r="AO143" s="332"/>
      <c r="AP143" s="395"/>
      <c r="AQ143" s="315"/>
      <c r="AR143" s="315"/>
      <c r="AS143" s="315"/>
      <c r="AT143" s="385"/>
      <c r="AU143" s="333"/>
      <c r="AV143" s="333"/>
      <c r="AW143" s="333"/>
      <c r="AX143" s="315"/>
      <c r="AY143" s="315"/>
      <c r="AZ143" s="315"/>
      <c r="BA143" s="315"/>
      <c r="BB143" s="315"/>
    </row>
    <row r="144" spans="1:54" s="334" customFormat="1" ht="24" customHeight="1">
      <c r="A144" s="313"/>
      <c r="B144" s="317"/>
      <c r="C144" s="318"/>
      <c r="D144" s="315"/>
      <c r="E144" s="318"/>
      <c r="F144" s="339"/>
      <c r="G144" s="339"/>
      <c r="H144" s="289"/>
      <c r="I144" s="289"/>
      <c r="J144" s="313"/>
      <c r="K144" s="313"/>
      <c r="L144" s="347"/>
      <c r="M144" s="353"/>
      <c r="N144" s="332"/>
      <c r="O144" s="315"/>
      <c r="P144" s="322"/>
      <c r="Q144" s="322"/>
      <c r="R144" s="322"/>
      <c r="S144" s="322"/>
      <c r="T144" s="323"/>
      <c r="U144" s="323"/>
      <c r="V144" s="288"/>
      <c r="W144" s="367"/>
      <c r="X144" s="316"/>
      <c r="Y144" s="289"/>
      <c r="Z144" s="289"/>
      <c r="AA144" s="362"/>
      <c r="AB144" s="326"/>
      <c r="AC144" s="326"/>
      <c r="AD144" s="326"/>
      <c r="AE144" s="327"/>
      <c r="AF144" s="313"/>
      <c r="AG144" s="313"/>
      <c r="AH144" s="329"/>
      <c r="AI144" s="330"/>
      <c r="AJ144" s="313"/>
      <c r="AK144" s="331"/>
      <c r="AL144" s="364"/>
      <c r="AM144" s="313"/>
      <c r="AN144" s="332"/>
      <c r="AO144" s="332"/>
      <c r="AP144" s="395"/>
      <c r="AQ144" s="315"/>
      <c r="AR144" s="315"/>
      <c r="AS144" s="315"/>
      <c r="AT144" s="385"/>
      <c r="AU144" s="333"/>
      <c r="AV144" s="333"/>
      <c r="AW144" s="333"/>
      <c r="AX144" s="315"/>
      <c r="AY144" s="315"/>
      <c r="AZ144" s="315"/>
      <c r="BA144" s="315"/>
      <c r="BB144" s="315"/>
    </row>
    <row r="145" spans="1:54" s="334" customFormat="1" ht="24" customHeight="1">
      <c r="A145" s="313"/>
      <c r="B145" s="317"/>
      <c r="C145" s="318"/>
      <c r="D145" s="315"/>
      <c r="E145" s="318"/>
      <c r="F145" s="339"/>
      <c r="G145" s="339"/>
      <c r="H145" s="289"/>
      <c r="I145" s="289"/>
      <c r="J145" s="313"/>
      <c r="K145" s="313"/>
      <c r="L145" s="347"/>
      <c r="M145" s="353"/>
      <c r="N145" s="332"/>
      <c r="O145" s="315"/>
      <c r="P145" s="322"/>
      <c r="Q145" s="322"/>
      <c r="R145" s="322"/>
      <c r="S145" s="322"/>
      <c r="T145" s="323"/>
      <c r="U145" s="323"/>
      <c r="V145" s="288"/>
      <c r="W145" s="367"/>
      <c r="X145" s="316"/>
      <c r="Y145" s="289"/>
      <c r="Z145" s="289"/>
      <c r="AA145" s="362"/>
      <c r="AB145" s="326"/>
      <c r="AC145" s="326"/>
      <c r="AD145" s="326"/>
      <c r="AE145" s="327"/>
      <c r="AF145" s="313"/>
      <c r="AG145" s="313"/>
      <c r="AH145" s="329"/>
      <c r="AI145" s="330"/>
      <c r="AJ145" s="313"/>
      <c r="AK145" s="331"/>
      <c r="AL145" s="364"/>
      <c r="AM145" s="313"/>
      <c r="AN145" s="332"/>
      <c r="AO145" s="332"/>
      <c r="AP145" s="395"/>
      <c r="AQ145" s="315"/>
      <c r="AR145" s="315"/>
      <c r="AS145" s="315"/>
      <c r="AT145" s="385"/>
      <c r="AU145" s="333"/>
      <c r="AV145" s="333"/>
      <c r="AW145" s="333"/>
      <c r="AX145" s="315"/>
      <c r="AY145" s="315"/>
      <c r="AZ145" s="315"/>
      <c r="BA145" s="315"/>
      <c r="BB145" s="315"/>
    </row>
    <row r="146" spans="1:54" s="334" customFormat="1" ht="24" customHeight="1">
      <c r="A146" s="313"/>
      <c r="B146" s="317"/>
      <c r="C146" s="288"/>
      <c r="D146" s="315"/>
      <c r="E146" s="341"/>
      <c r="F146" s="288"/>
      <c r="G146" s="354"/>
      <c r="H146" s="289"/>
      <c r="I146" s="289"/>
      <c r="J146" s="313"/>
      <c r="K146" s="313"/>
      <c r="L146" s="347"/>
      <c r="M146" s="347"/>
      <c r="N146" s="332"/>
      <c r="O146" s="315"/>
      <c r="P146" s="322"/>
      <c r="Q146" s="322"/>
      <c r="R146" s="322"/>
      <c r="S146" s="322"/>
      <c r="T146" s="323"/>
      <c r="U146" s="323"/>
      <c r="V146" s="288"/>
      <c r="W146" s="367"/>
      <c r="X146" s="316"/>
      <c r="Y146" s="289"/>
      <c r="Z146" s="289"/>
      <c r="AA146" s="362"/>
      <c r="AB146" s="326"/>
      <c r="AC146" s="326"/>
      <c r="AD146" s="326"/>
      <c r="AE146" s="327"/>
      <c r="AF146" s="313"/>
      <c r="AG146" s="407"/>
      <c r="AH146" s="329"/>
      <c r="AI146" s="330"/>
      <c r="AJ146" s="313"/>
      <c r="AK146" s="331"/>
      <c r="AL146" s="364"/>
      <c r="AM146" s="313"/>
      <c r="AN146" s="332"/>
      <c r="AO146" s="288"/>
      <c r="AP146" s="289"/>
      <c r="AQ146" s="315"/>
      <c r="AR146" s="315"/>
      <c r="AS146" s="315"/>
      <c r="AT146" s="385"/>
      <c r="AU146" s="333"/>
      <c r="AV146" s="333"/>
      <c r="AW146" s="333"/>
      <c r="AX146" s="315"/>
      <c r="AY146" s="315"/>
      <c r="AZ146" s="315"/>
      <c r="BA146" s="315"/>
      <c r="BB146" s="315"/>
    </row>
    <row r="147" spans="1:54" s="334" customFormat="1" ht="24" customHeight="1">
      <c r="A147" s="313"/>
      <c r="B147" s="317"/>
      <c r="C147" s="288"/>
      <c r="D147" s="315"/>
      <c r="E147" s="341"/>
      <c r="F147" s="288"/>
      <c r="G147" s="354"/>
      <c r="H147" s="289"/>
      <c r="I147" s="289"/>
      <c r="J147" s="313"/>
      <c r="K147" s="313"/>
      <c r="L147" s="347"/>
      <c r="M147" s="347"/>
      <c r="N147" s="332"/>
      <c r="O147" s="315"/>
      <c r="P147" s="322"/>
      <c r="Q147" s="322"/>
      <c r="R147" s="322"/>
      <c r="S147" s="322"/>
      <c r="T147" s="323"/>
      <c r="U147" s="323"/>
      <c r="V147" s="288"/>
      <c r="W147" s="367"/>
      <c r="X147" s="316"/>
      <c r="Y147" s="289"/>
      <c r="Z147" s="289"/>
      <c r="AA147" s="362"/>
      <c r="AB147" s="326"/>
      <c r="AC147" s="326"/>
      <c r="AD147" s="326"/>
      <c r="AE147" s="327"/>
      <c r="AF147" s="313"/>
      <c r="AG147" s="407"/>
      <c r="AH147" s="329"/>
      <c r="AI147" s="330"/>
      <c r="AJ147" s="313"/>
      <c r="AK147" s="331"/>
      <c r="AL147" s="364"/>
      <c r="AM147" s="313"/>
      <c r="AN147" s="332"/>
      <c r="AO147" s="288"/>
      <c r="AP147" s="289"/>
      <c r="AQ147" s="315"/>
      <c r="AR147" s="315"/>
      <c r="AS147" s="315"/>
      <c r="AT147" s="385"/>
      <c r="AU147" s="333"/>
      <c r="AV147" s="333"/>
      <c r="AW147" s="333"/>
      <c r="AX147" s="315"/>
      <c r="AY147" s="315"/>
      <c r="AZ147" s="315"/>
      <c r="BA147" s="315"/>
      <c r="BB147" s="315"/>
    </row>
    <row r="148" spans="1:54" s="334" customFormat="1" ht="24" customHeight="1">
      <c r="A148" s="313"/>
      <c r="B148" s="317"/>
      <c r="C148" s="288"/>
      <c r="D148" s="315"/>
      <c r="E148" s="318"/>
      <c r="F148" s="318"/>
      <c r="G148" s="318"/>
      <c r="H148" s="289"/>
      <c r="I148" s="289"/>
      <c r="J148" s="313"/>
      <c r="K148" s="313"/>
      <c r="L148" s="347"/>
      <c r="M148" s="353"/>
      <c r="N148" s="332"/>
      <c r="O148" s="315"/>
      <c r="P148" s="322"/>
      <c r="Q148" s="322"/>
      <c r="R148" s="322"/>
      <c r="S148" s="322"/>
      <c r="T148" s="323"/>
      <c r="U148" s="323"/>
      <c r="V148" s="288"/>
      <c r="W148" s="367"/>
      <c r="X148" s="316"/>
      <c r="Y148" s="351"/>
      <c r="Z148" s="351"/>
      <c r="AA148" s="324"/>
      <c r="AB148" s="326"/>
      <c r="AC148" s="326"/>
      <c r="AD148" s="326"/>
      <c r="AE148" s="327"/>
      <c r="AF148" s="313"/>
      <c r="AG148" s="407"/>
      <c r="AH148" s="329"/>
      <c r="AI148" s="330"/>
      <c r="AJ148" s="313"/>
      <c r="AK148" s="331"/>
      <c r="AL148" s="364"/>
      <c r="AM148" s="313"/>
      <c r="AN148" s="332"/>
      <c r="AO148" s="288"/>
      <c r="AP148" s="395"/>
      <c r="AQ148" s="315"/>
      <c r="AR148" s="315"/>
      <c r="AS148" s="315"/>
      <c r="AT148" s="385"/>
      <c r="AU148" s="333"/>
      <c r="AV148" s="333"/>
      <c r="AW148" s="333"/>
      <c r="AX148" s="315"/>
      <c r="AY148" s="315"/>
      <c r="AZ148" s="315"/>
      <c r="BA148" s="315"/>
      <c r="BB148" s="315"/>
    </row>
    <row r="149" spans="1:54" s="334" customFormat="1" ht="24" customHeight="1">
      <c r="A149" s="313"/>
      <c r="B149" s="317"/>
      <c r="C149" s="288"/>
      <c r="D149" s="315"/>
      <c r="E149" s="318"/>
      <c r="F149" s="305"/>
      <c r="G149" s="340"/>
      <c r="H149" s="289"/>
      <c r="I149" s="289"/>
      <c r="J149" s="313"/>
      <c r="K149" s="313"/>
      <c r="L149" s="347"/>
      <c r="M149" s="347"/>
      <c r="N149" s="332"/>
      <c r="O149" s="315"/>
      <c r="P149" s="322"/>
      <c r="Q149" s="322"/>
      <c r="R149" s="322"/>
      <c r="S149" s="322"/>
      <c r="T149" s="323"/>
      <c r="U149" s="323"/>
      <c r="V149" s="288"/>
      <c r="W149" s="367"/>
      <c r="X149" s="316"/>
      <c r="Y149" s="351"/>
      <c r="Z149" s="351"/>
      <c r="AA149" s="324"/>
      <c r="AB149" s="326"/>
      <c r="AC149" s="326"/>
      <c r="AD149" s="326"/>
      <c r="AE149" s="327"/>
      <c r="AF149" s="313"/>
      <c r="AG149" s="407"/>
      <c r="AH149" s="332"/>
      <c r="AI149" s="330"/>
      <c r="AJ149" s="313"/>
      <c r="AK149" s="331"/>
      <c r="AL149" s="364"/>
      <c r="AM149" s="313"/>
      <c r="AN149" s="332"/>
      <c r="AO149" s="288"/>
      <c r="AP149" s="395"/>
      <c r="AQ149" s="315"/>
      <c r="AR149" s="315"/>
      <c r="AS149" s="315"/>
      <c r="AT149" s="385"/>
      <c r="AU149" s="333"/>
      <c r="AV149" s="333"/>
      <c r="AW149" s="333"/>
      <c r="AX149" s="315"/>
      <c r="AY149" s="315"/>
      <c r="AZ149" s="315"/>
      <c r="BA149" s="315"/>
      <c r="BB149" s="315"/>
    </row>
    <row r="150" spans="1:54" s="334" customFormat="1" ht="24" customHeight="1">
      <c r="A150" s="313"/>
      <c r="B150" s="317"/>
      <c r="C150" s="288"/>
      <c r="D150" s="315"/>
      <c r="E150" s="318"/>
      <c r="F150" s="305"/>
      <c r="G150" s="340"/>
      <c r="H150" s="289"/>
      <c r="I150" s="289"/>
      <c r="J150" s="313"/>
      <c r="K150" s="313"/>
      <c r="L150" s="347"/>
      <c r="M150" s="347"/>
      <c r="N150" s="332"/>
      <c r="O150" s="315"/>
      <c r="P150" s="322"/>
      <c r="Q150" s="322"/>
      <c r="R150" s="322"/>
      <c r="S150" s="322"/>
      <c r="T150" s="323"/>
      <c r="U150" s="323"/>
      <c r="V150" s="288"/>
      <c r="W150" s="367"/>
      <c r="X150" s="316"/>
      <c r="Y150" s="351"/>
      <c r="Z150" s="351"/>
      <c r="AA150" s="324"/>
      <c r="AB150" s="326"/>
      <c r="AC150" s="326"/>
      <c r="AD150" s="326"/>
      <c r="AE150" s="327"/>
      <c r="AF150" s="313"/>
      <c r="AG150" s="407"/>
      <c r="AH150" s="332"/>
      <c r="AI150" s="330"/>
      <c r="AJ150" s="313"/>
      <c r="AK150" s="331"/>
      <c r="AL150" s="364"/>
      <c r="AM150" s="313"/>
      <c r="AN150" s="332"/>
      <c r="AO150" s="288"/>
      <c r="AP150" s="395"/>
      <c r="AQ150" s="315"/>
      <c r="AR150" s="315"/>
      <c r="AS150" s="315"/>
      <c r="AT150" s="385"/>
      <c r="AU150" s="333"/>
      <c r="AV150" s="333"/>
      <c r="AW150" s="333"/>
      <c r="AX150" s="315"/>
      <c r="AY150" s="315"/>
      <c r="AZ150" s="315"/>
      <c r="BA150" s="315"/>
      <c r="BB150" s="315"/>
    </row>
    <row r="151" spans="1:54" s="334" customFormat="1" ht="24" customHeight="1">
      <c r="A151" s="313"/>
      <c r="B151" s="317"/>
      <c r="C151" s="288"/>
      <c r="D151" s="315"/>
      <c r="E151" s="341"/>
      <c r="F151" s="288"/>
      <c r="G151" s="341"/>
      <c r="H151" s="289"/>
      <c r="I151" s="289"/>
      <c r="J151" s="313"/>
      <c r="K151" s="313"/>
      <c r="L151" s="347"/>
      <c r="M151" s="347"/>
      <c r="N151" s="332"/>
      <c r="O151" s="315"/>
      <c r="P151" s="322"/>
      <c r="Q151" s="322"/>
      <c r="R151" s="322"/>
      <c r="S151" s="322"/>
      <c r="T151" s="323"/>
      <c r="U151" s="323"/>
      <c r="V151" s="288"/>
      <c r="W151" s="367"/>
      <c r="X151" s="316"/>
      <c r="Y151" s="351"/>
      <c r="Z151" s="351"/>
      <c r="AA151" s="324"/>
      <c r="AB151" s="326"/>
      <c r="AC151" s="326"/>
      <c r="AD151" s="326"/>
      <c r="AE151" s="327"/>
      <c r="AF151" s="313"/>
      <c r="AG151" s="407"/>
      <c r="AH151" s="329"/>
      <c r="AI151" s="330"/>
      <c r="AJ151" s="313"/>
      <c r="AK151" s="331"/>
      <c r="AL151" s="364"/>
      <c r="AM151" s="313"/>
      <c r="AN151" s="332"/>
      <c r="AO151" s="288"/>
      <c r="AP151" s="289"/>
      <c r="AQ151" s="315"/>
      <c r="AR151" s="315"/>
      <c r="AS151" s="315"/>
      <c r="AT151" s="385"/>
      <c r="AU151" s="333"/>
      <c r="AV151" s="333"/>
      <c r="AW151" s="333"/>
      <c r="AX151" s="315"/>
      <c r="AY151" s="315"/>
      <c r="AZ151" s="315"/>
      <c r="BA151" s="315"/>
      <c r="BB151" s="315"/>
    </row>
    <row r="152" spans="1:54" s="334" customFormat="1" ht="24" customHeight="1">
      <c r="A152" s="313"/>
      <c r="B152" s="317"/>
      <c r="C152" s="288"/>
      <c r="D152" s="315"/>
      <c r="E152" s="288"/>
      <c r="F152" s="288"/>
      <c r="G152" s="288"/>
      <c r="H152" s="350"/>
      <c r="I152" s="350"/>
      <c r="J152" s="313"/>
      <c r="K152" s="313"/>
      <c r="L152" s="347"/>
      <c r="M152" s="353"/>
      <c r="N152" s="332"/>
      <c r="O152" s="315"/>
      <c r="P152" s="322"/>
      <c r="Q152" s="323"/>
      <c r="R152" s="323"/>
      <c r="S152" s="322"/>
      <c r="T152" s="323"/>
      <c r="U152" s="323"/>
      <c r="V152" s="288"/>
      <c r="W152" s="367"/>
      <c r="X152" s="316"/>
      <c r="Y152" s="351"/>
      <c r="Z152" s="351"/>
      <c r="AA152" s="396"/>
      <c r="AB152" s="326"/>
      <c r="AC152" s="326"/>
      <c r="AD152" s="326"/>
      <c r="AE152" s="327"/>
      <c r="AF152" s="313"/>
      <c r="AG152" s="407"/>
      <c r="AH152" s="329"/>
      <c r="AI152" s="330"/>
      <c r="AJ152" s="313"/>
      <c r="AK152" s="331"/>
      <c r="AL152" s="364"/>
      <c r="AM152" s="313"/>
      <c r="AN152" s="332"/>
      <c r="AO152" s="288"/>
      <c r="AP152" s="332"/>
      <c r="AQ152" s="315"/>
      <c r="AR152" s="315"/>
      <c r="AS152" s="315"/>
      <c r="AT152" s="315"/>
      <c r="AU152" s="315"/>
      <c r="AV152" s="315"/>
      <c r="AW152" s="333"/>
      <c r="AX152" s="380"/>
      <c r="AY152" s="315"/>
      <c r="AZ152" s="315"/>
      <c r="BA152" s="386"/>
      <c r="BB152" s="386"/>
    </row>
    <row r="153" spans="1:54" s="334" customFormat="1" ht="24" customHeight="1">
      <c r="A153" s="313"/>
      <c r="B153" s="317"/>
      <c r="C153" s="288"/>
      <c r="D153" s="315"/>
      <c r="E153" s="288"/>
      <c r="F153" s="288"/>
      <c r="G153" s="288"/>
      <c r="H153" s="350"/>
      <c r="I153" s="350"/>
      <c r="J153" s="313"/>
      <c r="K153" s="313"/>
      <c r="L153" s="347"/>
      <c r="M153" s="353"/>
      <c r="N153" s="332"/>
      <c r="O153" s="315"/>
      <c r="P153" s="322"/>
      <c r="Q153" s="323"/>
      <c r="R153" s="323"/>
      <c r="S153" s="322"/>
      <c r="T153" s="323"/>
      <c r="U153" s="323"/>
      <c r="V153" s="288"/>
      <c r="W153" s="367"/>
      <c r="X153" s="316"/>
      <c r="Y153" s="351"/>
      <c r="Z153" s="351"/>
      <c r="AA153" s="396"/>
      <c r="AB153" s="326"/>
      <c r="AC153" s="326"/>
      <c r="AD153" s="326"/>
      <c r="AE153" s="327"/>
      <c r="AF153" s="313"/>
      <c r="AG153" s="407"/>
      <c r="AH153" s="329"/>
      <c r="AI153" s="330"/>
      <c r="AJ153" s="313"/>
      <c r="AK153" s="331"/>
      <c r="AL153" s="364"/>
      <c r="AM153" s="313"/>
      <c r="AN153" s="332"/>
      <c r="AO153" s="288"/>
      <c r="AP153" s="332"/>
      <c r="AQ153" s="315"/>
      <c r="AR153" s="315"/>
      <c r="AS153" s="315"/>
      <c r="AT153" s="315"/>
      <c r="AU153" s="315"/>
      <c r="AV153" s="315"/>
      <c r="AW153" s="333"/>
      <c r="AX153" s="380"/>
      <c r="AY153" s="315"/>
      <c r="AZ153" s="315"/>
      <c r="BA153" s="386"/>
      <c r="BB153" s="386"/>
    </row>
    <row r="154" spans="1:54" s="334" customFormat="1" ht="24" customHeight="1">
      <c r="A154" s="313"/>
      <c r="B154" s="317"/>
      <c r="C154" s="288"/>
      <c r="D154" s="315"/>
      <c r="E154" s="288"/>
      <c r="F154" s="288"/>
      <c r="G154" s="288"/>
      <c r="H154" s="350"/>
      <c r="I154" s="350"/>
      <c r="J154" s="313"/>
      <c r="K154" s="313"/>
      <c r="L154" s="347"/>
      <c r="M154" s="353"/>
      <c r="N154" s="332"/>
      <c r="O154" s="315"/>
      <c r="P154" s="322"/>
      <c r="Q154" s="323"/>
      <c r="R154" s="323"/>
      <c r="S154" s="322"/>
      <c r="T154" s="323"/>
      <c r="U154" s="323"/>
      <c r="V154" s="288"/>
      <c r="W154" s="367"/>
      <c r="X154" s="316"/>
      <c r="Y154" s="351"/>
      <c r="Z154" s="351"/>
      <c r="AA154" s="396"/>
      <c r="AB154" s="326"/>
      <c r="AC154" s="326"/>
      <c r="AD154" s="326"/>
      <c r="AE154" s="327"/>
      <c r="AF154" s="313"/>
      <c r="AG154" s="407"/>
      <c r="AH154" s="329"/>
      <c r="AI154" s="330"/>
      <c r="AJ154" s="313"/>
      <c r="AK154" s="331"/>
      <c r="AL154" s="364"/>
      <c r="AM154" s="313"/>
      <c r="AN154" s="332"/>
      <c r="AO154" s="288"/>
      <c r="AP154" s="332"/>
      <c r="AQ154" s="315"/>
      <c r="AR154" s="315"/>
      <c r="AS154" s="315"/>
      <c r="AT154" s="315"/>
      <c r="AU154" s="315"/>
      <c r="AV154" s="315"/>
      <c r="AW154" s="333"/>
      <c r="AX154" s="380"/>
      <c r="AY154" s="315"/>
      <c r="AZ154" s="315"/>
      <c r="BA154" s="386"/>
      <c r="BB154" s="386"/>
    </row>
    <row r="155" spans="1:54" s="334" customFormat="1" ht="24" customHeight="1">
      <c r="A155" s="313"/>
      <c r="B155" s="317"/>
      <c r="C155" s="288"/>
      <c r="D155" s="315"/>
      <c r="E155" s="288"/>
      <c r="F155" s="288"/>
      <c r="G155" s="288"/>
      <c r="H155" s="350"/>
      <c r="I155" s="350"/>
      <c r="J155" s="313"/>
      <c r="K155" s="313"/>
      <c r="L155" s="347"/>
      <c r="M155" s="353"/>
      <c r="N155" s="332"/>
      <c r="O155" s="315"/>
      <c r="P155" s="322"/>
      <c r="Q155" s="323"/>
      <c r="R155" s="323"/>
      <c r="S155" s="322"/>
      <c r="T155" s="323"/>
      <c r="U155" s="323"/>
      <c r="V155" s="288"/>
      <c r="W155" s="367"/>
      <c r="X155" s="316"/>
      <c r="Y155" s="351"/>
      <c r="Z155" s="351"/>
      <c r="AA155" s="396"/>
      <c r="AB155" s="326"/>
      <c r="AC155" s="326"/>
      <c r="AD155" s="326"/>
      <c r="AE155" s="327"/>
      <c r="AF155" s="313"/>
      <c r="AG155" s="407"/>
      <c r="AH155" s="329"/>
      <c r="AI155" s="330"/>
      <c r="AJ155" s="313"/>
      <c r="AK155" s="331"/>
      <c r="AL155" s="364"/>
      <c r="AM155" s="313"/>
      <c r="AN155" s="332"/>
      <c r="AO155" s="288"/>
      <c r="AP155" s="332"/>
      <c r="AQ155" s="315"/>
      <c r="AR155" s="315"/>
      <c r="AS155" s="315"/>
      <c r="AT155" s="315"/>
      <c r="AU155" s="315"/>
      <c r="AV155" s="315"/>
      <c r="AW155" s="333"/>
      <c r="AX155" s="380"/>
      <c r="AY155" s="315"/>
      <c r="AZ155" s="315"/>
      <c r="BA155" s="386"/>
      <c r="BB155" s="386"/>
    </row>
    <row r="156" spans="1:54" s="334" customFormat="1" ht="24" customHeight="1">
      <c r="A156" s="313"/>
      <c r="B156" s="317"/>
      <c r="C156" s="288"/>
      <c r="D156" s="315"/>
      <c r="E156" s="288"/>
      <c r="F156" s="288"/>
      <c r="G156" s="288"/>
      <c r="H156" s="350"/>
      <c r="I156" s="350"/>
      <c r="J156" s="313"/>
      <c r="K156" s="313"/>
      <c r="L156" s="347"/>
      <c r="M156" s="338"/>
      <c r="N156" s="332"/>
      <c r="O156" s="315"/>
      <c r="P156" s="322"/>
      <c r="Q156" s="323"/>
      <c r="R156" s="323"/>
      <c r="S156" s="322"/>
      <c r="T156" s="323"/>
      <c r="U156" s="323"/>
      <c r="V156" s="288"/>
      <c r="W156" s="367"/>
      <c r="X156" s="316"/>
      <c r="Y156" s="351"/>
      <c r="Z156" s="351"/>
      <c r="AA156" s="396"/>
      <c r="AB156" s="326"/>
      <c r="AC156" s="326"/>
      <c r="AD156" s="326"/>
      <c r="AE156" s="327"/>
      <c r="AF156" s="313"/>
      <c r="AG156" s="407"/>
      <c r="AH156" s="329"/>
      <c r="AI156" s="330"/>
      <c r="AJ156" s="313"/>
      <c r="AK156" s="331"/>
      <c r="AL156" s="364"/>
      <c r="AM156" s="313"/>
      <c r="AN156" s="332"/>
      <c r="AO156" s="288"/>
      <c r="AP156" s="332"/>
      <c r="AQ156" s="315"/>
      <c r="AR156" s="315"/>
      <c r="AS156" s="315"/>
      <c r="AT156" s="315"/>
      <c r="AU156" s="315"/>
      <c r="AV156" s="315"/>
      <c r="AW156" s="333"/>
      <c r="AX156" s="380"/>
      <c r="AY156" s="315"/>
      <c r="AZ156" s="315"/>
      <c r="BA156" s="386"/>
      <c r="BB156" s="386"/>
    </row>
    <row r="157" spans="1:54" s="334" customFormat="1" ht="24" customHeight="1">
      <c r="A157" s="313"/>
      <c r="B157" s="317"/>
      <c r="C157" s="318"/>
      <c r="D157" s="315"/>
      <c r="E157" s="318"/>
      <c r="F157" s="288"/>
      <c r="G157" s="414"/>
      <c r="H157" s="350"/>
      <c r="I157" s="350"/>
      <c r="J157" s="313"/>
      <c r="K157" s="313"/>
      <c r="L157" s="318"/>
      <c r="M157" s="318"/>
      <c r="N157" s="318"/>
      <c r="O157" s="315"/>
      <c r="P157" s="415"/>
      <c r="Q157" s="323"/>
      <c r="R157" s="323"/>
      <c r="S157" s="415"/>
      <c r="T157" s="323"/>
      <c r="U157" s="323"/>
      <c r="V157" s="313"/>
      <c r="W157" s="350"/>
      <c r="X157" s="316"/>
      <c r="Y157" s="351"/>
      <c r="Z157" s="409"/>
      <c r="AA157" s="318"/>
      <c r="AB157" s="326"/>
      <c r="AC157" s="325"/>
      <c r="AD157" s="326"/>
      <c r="AE157" s="327"/>
      <c r="AF157" s="313"/>
      <c r="AG157" s="313"/>
      <c r="AH157" s="410"/>
      <c r="AI157" s="330"/>
      <c r="AJ157" s="313"/>
      <c r="AK157" s="331"/>
      <c r="AL157" s="330"/>
      <c r="AM157" s="313"/>
      <c r="AN157" s="318"/>
      <c r="AO157" s="318"/>
      <c r="AP157" s="360"/>
      <c r="AQ157" s="315"/>
      <c r="AR157" s="315"/>
      <c r="AS157" s="315"/>
      <c r="AT157" s="318"/>
      <c r="AU157" s="333"/>
      <c r="AV157" s="333"/>
      <c r="AW157" s="333"/>
      <c r="AX157" s="315"/>
      <c r="AY157" s="315"/>
      <c r="AZ157" s="315"/>
      <c r="BA157" s="315"/>
      <c r="BB157" s="315"/>
    </row>
    <row r="158" spans="1:54" s="334" customFormat="1" ht="24" customHeight="1">
      <c r="A158" s="313"/>
      <c r="B158" s="317"/>
      <c r="C158" s="318"/>
      <c r="D158" s="315"/>
      <c r="E158" s="318"/>
      <c r="F158" s="288"/>
      <c r="G158" s="414"/>
      <c r="H158" s="350"/>
      <c r="I158" s="350"/>
      <c r="J158" s="313"/>
      <c r="K158" s="313"/>
      <c r="L158" s="318"/>
      <c r="M158" s="318"/>
      <c r="N158" s="318"/>
      <c r="O158" s="315"/>
      <c r="P158" s="415"/>
      <c r="Q158" s="323"/>
      <c r="R158" s="323"/>
      <c r="S158" s="415"/>
      <c r="T158" s="323"/>
      <c r="U158" s="323"/>
      <c r="V158" s="313"/>
      <c r="W158" s="350"/>
      <c r="X158" s="316"/>
      <c r="Y158" s="351"/>
      <c r="Z158" s="409"/>
      <c r="AA158" s="318"/>
      <c r="AB158" s="326"/>
      <c r="AC158" s="325"/>
      <c r="AD158" s="326"/>
      <c r="AE158" s="327"/>
      <c r="AF158" s="313"/>
      <c r="AG158" s="313"/>
      <c r="AH158" s="410"/>
      <c r="AI158" s="330"/>
      <c r="AJ158" s="313"/>
      <c r="AK158" s="331"/>
      <c r="AL158" s="330"/>
      <c r="AM158" s="313"/>
      <c r="AN158" s="318"/>
      <c r="AO158" s="318"/>
      <c r="AP158" s="360"/>
      <c r="AQ158" s="315"/>
      <c r="AR158" s="315"/>
      <c r="AS158" s="315"/>
      <c r="AT158" s="318"/>
      <c r="AU158" s="333"/>
      <c r="AV158" s="333"/>
      <c r="AW158" s="333"/>
      <c r="AX158" s="315"/>
      <c r="AY158" s="315"/>
      <c r="AZ158" s="315"/>
      <c r="BA158" s="315"/>
      <c r="BB158" s="315"/>
    </row>
    <row r="159" spans="1:54" s="334" customFormat="1" ht="24" customHeight="1">
      <c r="A159" s="313"/>
      <c r="B159" s="317"/>
      <c r="C159" s="318"/>
      <c r="D159" s="315"/>
      <c r="E159" s="318"/>
      <c r="F159" s="288"/>
      <c r="G159" s="414"/>
      <c r="H159" s="350"/>
      <c r="I159" s="350"/>
      <c r="J159" s="313"/>
      <c r="K159" s="313"/>
      <c r="L159" s="318"/>
      <c r="M159" s="318"/>
      <c r="N159" s="318"/>
      <c r="O159" s="315"/>
      <c r="P159" s="415"/>
      <c r="Q159" s="323"/>
      <c r="R159" s="323"/>
      <c r="S159" s="415"/>
      <c r="T159" s="323"/>
      <c r="U159" s="323"/>
      <c r="V159" s="313"/>
      <c r="W159" s="350"/>
      <c r="X159" s="316"/>
      <c r="Y159" s="351"/>
      <c r="Z159" s="409"/>
      <c r="AA159" s="318"/>
      <c r="AB159" s="326"/>
      <c r="AC159" s="325"/>
      <c r="AD159" s="326"/>
      <c r="AE159" s="327"/>
      <c r="AF159" s="313"/>
      <c r="AG159" s="313"/>
      <c r="AH159" s="410"/>
      <c r="AI159" s="330"/>
      <c r="AJ159" s="313"/>
      <c r="AK159" s="331"/>
      <c r="AL159" s="330"/>
      <c r="AM159" s="313"/>
      <c r="AN159" s="318"/>
      <c r="AO159" s="318"/>
      <c r="AP159" s="360"/>
      <c r="AQ159" s="315"/>
      <c r="AR159" s="315"/>
      <c r="AS159" s="315"/>
      <c r="AT159" s="318"/>
      <c r="AU159" s="333"/>
      <c r="AV159" s="333"/>
      <c r="AW159" s="333"/>
      <c r="AX159" s="315"/>
      <c r="AY159" s="315"/>
      <c r="AZ159" s="315"/>
      <c r="BA159" s="315"/>
      <c r="BB159" s="315"/>
    </row>
    <row r="160" spans="1:54" s="334" customFormat="1" ht="24" customHeight="1">
      <c r="A160" s="313"/>
      <c r="B160" s="317"/>
      <c r="C160" s="318"/>
      <c r="D160" s="315"/>
      <c r="E160" s="318"/>
      <c r="F160" s="288"/>
      <c r="G160" s="414"/>
      <c r="H160" s="350"/>
      <c r="I160" s="350"/>
      <c r="J160" s="313"/>
      <c r="K160" s="313"/>
      <c r="L160" s="318"/>
      <c r="M160" s="318"/>
      <c r="N160" s="318"/>
      <c r="O160" s="315"/>
      <c r="P160" s="415"/>
      <c r="Q160" s="323"/>
      <c r="R160" s="323"/>
      <c r="S160" s="415"/>
      <c r="T160" s="323"/>
      <c r="U160" s="323"/>
      <c r="V160" s="313"/>
      <c r="W160" s="350"/>
      <c r="X160" s="316"/>
      <c r="Y160" s="351"/>
      <c r="Z160" s="409"/>
      <c r="AA160" s="318"/>
      <c r="AB160" s="326"/>
      <c r="AC160" s="325"/>
      <c r="AD160" s="326"/>
      <c r="AE160" s="327"/>
      <c r="AF160" s="313"/>
      <c r="AG160" s="313"/>
      <c r="AH160" s="410"/>
      <c r="AI160" s="330"/>
      <c r="AJ160" s="313"/>
      <c r="AK160" s="331"/>
      <c r="AL160" s="330"/>
      <c r="AM160" s="313"/>
      <c r="AN160" s="318"/>
      <c r="AO160" s="318"/>
      <c r="AP160" s="360"/>
      <c r="AQ160" s="315"/>
      <c r="AR160" s="315"/>
      <c r="AS160" s="315"/>
      <c r="AT160" s="318"/>
      <c r="AU160" s="333"/>
      <c r="AV160" s="333"/>
      <c r="AW160" s="333"/>
      <c r="AX160" s="315"/>
      <c r="AY160" s="315"/>
      <c r="AZ160" s="315"/>
      <c r="BA160" s="315"/>
      <c r="BB160" s="315"/>
    </row>
    <row r="161" spans="1:54" s="334" customFormat="1" ht="24" customHeight="1">
      <c r="A161" s="313"/>
      <c r="B161" s="317"/>
      <c r="C161" s="318"/>
      <c r="D161" s="315"/>
      <c r="E161" s="318"/>
      <c r="F161" s="288"/>
      <c r="G161" s="414"/>
      <c r="H161" s="350"/>
      <c r="I161" s="350"/>
      <c r="J161" s="313"/>
      <c r="K161" s="313"/>
      <c r="L161" s="318"/>
      <c r="M161" s="318"/>
      <c r="N161" s="318"/>
      <c r="O161" s="315"/>
      <c r="P161" s="415"/>
      <c r="Q161" s="323"/>
      <c r="R161" s="323"/>
      <c r="S161" s="415"/>
      <c r="T161" s="323"/>
      <c r="U161" s="323"/>
      <c r="V161" s="313"/>
      <c r="W161" s="350"/>
      <c r="X161" s="316"/>
      <c r="Y161" s="351"/>
      <c r="Z161" s="409"/>
      <c r="AA161" s="318"/>
      <c r="AB161" s="326"/>
      <c r="AC161" s="325"/>
      <c r="AD161" s="326"/>
      <c r="AE161" s="327"/>
      <c r="AF161" s="313"/>
      <c r="AG161" s="313"/>
      <c r="AH161" s="410"/>
      <c r="AI161" s="330"/>
      <c r="AJ161" s="313"/>
      <c r="AK161" s="331"/>
      <c r="AL161" s="330"/>
      <c r="AM161" s="313"/>
      <c r="AN161" s="318"/>
      <c r="AO161" s="318"/>
      <c r="AP161" s="360"/>
      <c r="AQ161" s="315"/>
      <c r="AR161" s="315"/>
      <c r="AS161" s="315"/>
      <c r="AT161" s="318"/>
      <c r="AU161" s="333"/>
      <c r="AV161" s="333"/>
      <c r="AW161" s="333"/>
      <c r="AX161" s="315"/>
      <c r="AY161" s="315"/>
      <c r="AZ161" s="315"/>
      <c r="BA161" s="315"/>
      <c r="BB161" s="315"/>
    </row>
    <row r="162" spans="1:54" s="334" customFormat="1" ht="24" customHeight="1">
      <c r="A162" s="313"/>
      <c r="B162" s="317"/>
      <c r="C162" s="318"/>
      <c r="D162" s="315"/>
      <c r="E162" s="318"/>
      <c r="F162" s="288"/>
      <c r="G162" s="414"/>
      <c r="H162" s="350"/>
      <c r="I162" s="350"/>
      <c r="J162" s="313"/>
      <c r="K162" s="313"/>
      <c r="L162" s="318"/>
      <c r="M162" s="318"/>
      <c r="N162" s="318"/>
      <c r="O162" s="315"/>
      <c r="P162" s="415"/>
      <c r="Q162" s="323"/>
      <c r="R162" s="323"/>
      <c r="S162" s="415"/>
      <c r="T162" s="323"/>
      <c r="U162" s="323"/>
      <c r="V162" s="313"/>
      <c r="W162" s="350"/>
      <c r="X162" s="316"/>
      <c r="Y162" s="351"/>
      <c r="Z162" s="409"/>
      <c r="AA162" s="318"/>
      <c r="AB162" s="326"/>
      <c r="AC162" s="325"/>
      <c r="AD162" s="326"/>
      <c r="AE162" s="327"/>
      <c r="AF162" s="313"/>
      <c r="AG162" s="313"/>
      <c r="AH162" s="410"/>
      <c r="AI162" s="330"/>
      <c r="AJ162" s="313"/>
      <c r="AK162" s="331"/>
      <c r="AL162" s="330"/>
      <c r="AM162" s="313"/>
      <c r="AN162" s="318"/>
      <c r="AO162" s="318"/>
      <c r="AP162" s="360"/>
      <c r="AQ162" s="315"/>
      <c r="AR162" s="315"/>
      <c r="AS162" s="315"/>
      <c r="AT162" s="318"/>
      <c r="AU162" s="333"/>
      <c r="AV162" s="333"/>
      <c r="AW162" s="333"/>
      <c r="AX162" s="315"/>
      <c r="AY162" s="315"/>
      <c r="AZ162" s="315"/>
      <c r="BA162" s="315"/>
      <c r="BB162" s="315"/>
    </row>
    <row r="163" spans="1:54" s="334" customFormat="1" ht="24" customHeight="1">
      <c r="A163" s="313"/>
      <c r="B163" s="317"/>
      <c r="C163" s="318"/>
      <c r="D163" s="315"/>
      <c r="E163" s="318"/>
      <c r="F163" s="288"/>
      <c r="G163" s="408"/>
      <c r="H163" s="350"/>
      <c r="I163" s="350"/>
      <c r="J163" s="313"/>
      <c r="K163" s="313"/>
      <c r="L163" s="318"/>
      <c r="M163" s="318"/>
      <c r="N163" s="318"/>
      <c r="O163" s="315"/>
      <c r="P163" s="415"/>
      <c r="Q163" s="323"/>
      <c r="R163" s="323"/>
      <c r="S163" s="415"/>
      <c r="T163" s="323"/>
      <c r="U163" s="323"/>
      <c r="V163" s="313"/>
      <c r="W163" s="350"/>
      <c r="X163" s="316"/>
      <c r="Y163" s="351"/>
      <c r="Z163" s="409"/>
      <c r="AA163" s="318"/>
      <c r="AB163" s="326"/>
      <c r="AC163" s="325"/>
      <c r="AD163" s="326"/>
      <c r="AE163" s="327"/>
      <c r="AF163" s="313"/>
      <c r="AG163" s="313"/>
      <c r="AH163" s="410"/>
      <c r="AI163" s="330"/>
      <c r="AJ163" s="313"/>
      <c r="AK163" s="331"/>
      <c r="AL163" s="330"/>
      <c r="AM163" s="313"/>
      <c r="AN163" s="318"/>
      <c r="AO163" s="318"/>
      <c r="AP163" s="360"/>
      <c r="AQ163" s="315"/>
      <c r="AR163" s="315"/>
      <c r="AS163" s="315"/>
      <c r="AT163" s="318"/>
      <c r="AU163" s="333"/>
      <c r="AV163" s="333"/>
      <c r="AW163" s="333"/>
      <c r="AX163" s="315"/>
      <c r="AY163" s="315"/>
      <c r="AZ163" s="315"/>
      <c r="BA163" s="315"/>
      <c r="BB163" s="315"/>
    </row>
    <row r="164" spans="1:54" s="334" customFormat="1" ht="24" customHeight="1">
      <c r="A164" s="313"/>
      <c r="B164" s="317"/>
      <c r="C164" s="318"/>
      <c r="D164" s="315"/>
      <c r="E164" s="318"/>
      <c r="F164" s="288"/>
      <c r="G164" s="408"/>
      <c r="H164" s="350"/>
      <c r="I164" s="350"/>
      <c r="J164" s="313"/>
      <c r="K164" s="313"/>
      <c r="L164" s="318"/>
      <c r="M164" s="318"/>
      <c r="N164" s="318"/>
      <c r="O164" s="315"/>
      <c r="P164" s="415"/>
      <c r="Q164" s="323"/>
      <c r="R164" s="323"/>
      <c r="S164" s="415"/>
      <c r="T164" s="323"/>
      <c r="U164" s="323"/>
      <c r="V164" s="313"/>
      <c r="W164" s="350"/>
      <c r="X164" s="316"/>
      <c r="Y164" s="351"/>
      <c r="Z164" s="409"/>
      <c r="AA164" s="318"/>
      <c r="AB164" s="326"/>
      <c r="AC164" s="325"/>
      <c r="AD164" s="326"/>
      <c r="AE164" s="327"/>
      <c r="AF164" s="313"/>
      <c r="AG164" s="313"/>
      <c r="AH164" s="410"/>
      <c r="AI164" s="330"/>
      <c r="AJ164" s="313"/>
      <c r="AK164" s="331"/>
      <c r="AL164" s="330"/>
      <c r="AM164" s="313"/>
      <c r="AN164" s="318"/>
      <c r="AO164" s="318"/>
      <c r="AP164" s="360"/>
      <c r="AQ164" s="315"/>
      <c r="AR164" s="315"/>
      <c r="AS164" s="315"/>
      <c r="AT164" s="318"/>
      <c r="AU164" s="333"/>
      <c r="AV164" s="333"/>
      <c r="AW164" s="333"/>
      <c r="AX164" s="315"/>
      <c r="AY164" s="315"/>
      <c r="AZ164" s="315"/>
      <c r="BA164" s="315"/>
      <c r="BB164" s="315"/>
    </row>
    <row r="165" spans="1:54" s="334" customFormat="1" ht="24" customHeight="1">
      <c r="A165" s="313"/>
      <c r="B165" s="317"/>
      <c r="C165" s="318"/>
      <c r="D165" s="315"/>
      <c r="E165" s="318"/>
      <c r="F165" s="288"/>
      <c r="G165" s="416"/>
      <c r="H165" s="350"/>
      <c r="I165" s="350"/>
      <c r="J165" s="313"/>
      <c r="K165" s="313"/>
      <c r="L165" s="318"/>
      <c r="M165" s="318"/>
      <c r="N165" s="318"/>
      <c r="O165" s="315"/>
      <c r="P165" s="417"/>
      <c r="Q165" s="323"/>
      <c r="R165" s="323"/>
      <c r="S165" s="417"/>
      <c r="T165" s="323"/>
      <c r="U165" s="323"/>
      <c r="V165" s="313"/>
      <c r="W165" s="350"/>
      <c r="X165" s="316"/>
      <c r="Y165" s="351"/>
      <c r="Z165" s="409"/>
      <c r="AA165" s="318"/>
      <c r="AB165" s="326"/>
      <c r="AC165" s="325"/>
      <c r="AD165" s="326"/>
      <c r="AE165" s="327"/>
      <c r="AF165" s="313"/>
      <c r="AG165" s="313"/>
      <c r="AH165" s="410"/>
      <c r="AI165" s="330"/>
      <c r="AJ165" s="313"/>
      <c r="AK165" s="331"/>
      <c r="AL165" s="330"/>
      <c r="AM165" s="313"/>
      <c r="AN165" s="318"/>
      <c r="AO165" s="318"/>
      <c r="AP165" s="360"/>
      <c r="AQ165" s="315"/>
      <c r="AR165" s="315"/>
      <c r="AS165" s="315"/>
      <c r="AT165" s="318"/>
      <c r="AU165" s="333"/>
      <c r="AV165" s="333"/>
      <c r="AW165" s="333"/>
      <c r="AX165" s="315"/>
      <c r="AY165" s="315"/>
      <c r="AZ165" s="315"/>
      <c r="BA165" s="315"/>
      <c r="BB165" s="315"/>
    </row>
    <row r="166" spans="1:54" s="334" customFormat="1" ht="24" customHeight="1">
      <c r="A166" s="313"/>
      <c r="B166" s="317"/>
      <c r="C166" s="318"/>
      <c r="D166" s="315"/>
      <c r="E166" s="318"/>
      <c r="F166" s="288"/>
      <c r="G166" s="416"/>
      <c r="H166" s="350"/>
      <c r="I166" s="350"/>
      <c r="J166" s="313"/>
      <c r="K166" s="313"/>
      <c r="L166" s="318"/>
      <c r="M166" s="318"/>
      <c r="N166" s="318"/>
      <c r="O166" s="315"/>
      <c r="P166" s="417"/>
      <c r="Q166" s="323"/>
      <c r="R166" s="323"/>
      <c r="S166" s="417"/>
      <c r="T166" s="323"/>
      <c r="U166" s="323"/>
      <c r="V166" s="313"/>
      <c r="W166" s="350"/>
      <c r="X166" s="316"/>
      <c r="Y166" s="351"/>
      <c r="Z166" s="409"/>
      <c r="AA166" s="318"/>
      <c r="AB166" s="326"/>
      <c r="AC166" s="325"/>
      <c r="AD166" s="326"/>
      <c r="AE166" s="327"/>
      <c r="AF166" s="313"/>
      <c r="AG166" s="313"/>
      <c r="AH166" s="410"/>
      <c r="AI166" s="330"/>
      <c r="AJ166" s="313"/>
      <c r="AK166" s="331"/>
      <c r="AL166" s="330"/>
      <c r="AM166" s="313"/>
      <c r="AN166" s="318"/>
      <c r="AO166" s="318"/>
      <c r="AP166" s="360"/>
      <c r="AQ166" s="315"/>
      <c r="AR166" s="315"/>
      <c r="AS166" s="315"/>
      <c r="AT166" s="318"/>
      <c r="AU166" s="333"/>
      <c r="AV166" s="333"/>
      <c r="AW166" s="333"/>
      <c r="AX166" s="315"/>
      <c r="AY166" s="315"/>
      <c r="AZ166" s="315"/>
      <c r="BA166" s="315"/>
      <c r="BB166" s="315"/>
    </row>
    <row r="167" spans="1:54" s="334" customFormat="1" ht="24" customHeight="1">
      <c r="A167" s="313"/>
      <c r="B167" s="317"/>
      <c r="C167" s="318"/>
      <c r="D167" s="315"/>
      <c r="E167" s="318"/>
      <c r="F167" s="288"/>
      <c r="G167" s="416"/>
      <c r="H167" s="350"/>
      <c r="I167" s="350"/>
      <c r="J167" s="313"/>
      <c r="K167" s="313"/>
      <c r="L167" s="318"/>
      <c r="M167" s="318"/>
      <c r="N167" s="318"/>
      <c r="O167" s="315"/>
      <c r="P167" s="418"/>
      <c r="Q167" s="323"/>
      <c r="R167" s="323"/>
      <c r="S167" s="418"/>
      <c r="T167" s="323"/>
      <c r="U167" s="323"/>
      <c r="V167" s="313"/>
      <c r="W167" s="350"/>
      <c r="X167" s="316"/>
      <c r="Y167" s="351"/>
      <c r="Z167" s="409"/>
      <c r="AA167" s="318"/>
      <c r="AB167" s="326"/>
      <c r="AC167" s="325"/>
      <c r="AD167" s="326"/>
      <c r="AE167" s="327"/>
      <c r="AF167" s="313"/>
      <c r="AG167" s="313"/>
      <c r="AH167" s="410"/>
      <c r="AI167" s="330"/>
      <c r="AJ167" s="313"/>
      <c r="AK167" s="331"/>
      <c r="AL167" s="330"/>
      <c r="AM167" s="313"/>
      <c r="AN167" s="318"/>
      <c r="AO167" s="318"/>
      <c r="AP167" s="360"/>
      <c r="AQ167" s="315"/>
      <c r="AR167" s="315"/>
      <c r="AS167" s="315"/>
      <c r="AT167" s="318"/>
      <c r="AU167" s="333"/>
      <c r="AV167" s="333"/>
      <c r="AW167" s="333"/>
      <c r="AX167" s="315"/>
      <c r="AY167" s="315"/>
      <c r="AZ167" s="315"/>
      <c r="BA167" s="315"/>
      <c r="BB167" s="315"/>
    </row>
    <row r="168" spans="1:54" s="334" customFormat="1" ht="24" customHeight="1">
      <c r="A168" s="313"/>
      <c r="B168" s="317"/>
      <c r="C168" s="318"/>
      <c r="D168" s="315"/>
      <c r="E168" s="318"/>
      <c r="F168" s="288"/>
      <c r="G168" s="416"/>
      <c r="H168" s="350"/>
      <c r="I168" s="350"/>
      <c r="J168" s="313"/>
      <c r="K168" s="313"/>
      <c r="L168" s="318"/>
      <c r="M168" s="318"/>
      <c r="N168" s="318"/>
      <c r="O168" s="315"/>
      <c r="P168" s="418"/>
      <c r="Q168" s="323"/>
      <c r="R168" s="323"/>
      <c r="S168" s="418"/>
      <c r="T168" s="323"/>
      <c r="U168" s="323"/>
      <c r="V168" s="313"/>
      <c r="W168" s="350"/>
      <c r="X168" s="316"/>
      <c r="Y168" s="351"/>
      <c r="Z168" s="409"/>
      <c r="AA168" s="318"/>
      <c r="AB168" s="326"/>
      <c r="AC168" s="325"/>
      <c r="AD168" s="326"/>
      <c r="AE168" s="327"/>
      <c r="AF168" s="313"/>
      <c r="AG168" s="313"/>
      <c r="AH168" s="410"/>
      <c r="AI168" s="330"/>
      <c r="AJ168" s="313"/>
      <c r="AK168" s="331"/>
      <c r="AL168" s="330"/>
      <c r="AM168" s="313"/>
      <c r="AN168" s="318"/>
      <c r="AO168" s="318"/>
      <c r="AP168" s="360"/>
      <c r="AQ168" s="315"/>
      <c r="AR168" s="315"/>
      <c r="AS168" s="315"/>
      <c r="AT168" s="318"/>
      <c r="AU168" s="333"/>
      <c r="AV168" s="333"/>
      <c r="AW168" s="333"/>
      <c r="AX168" s="315"/>
      <c r="AY168" s="315"/>
      <c r="AZ168" s="315"/>
      <c r="BA168" s="315"/>
      <c r="BB168" s="315"/>
    </row>
    <row r="169" spans="1:54" s="334" customFormat="1" ht="24" customHeight="1">
      <c r="A169" s="313"/>
      <c r="B169" s="317"/>
      <c r="C169" s="318"/>
      <c r="D169" s="315"/>
      <c r="E169" s="318"/>
      <c r="F169" s="288"/>
      <c r="G169" s="414"/>
      <c r="H169" s="360"/>
      <c r="I169" s="360"/>
      <c r="J169" s="313"/>
      <c r="K169" s="313"/>
      <c r="L169" s="318"/>
      <c r="M169" s="318"/>
      <c r="N169" s="318"/>
      <c r="O169" s="315"/>
      <c r="P169" s="415"/>
      <c r="Q169" s="413"/>
      <c r="R169" s="413"/>
      <c r="S169" s="415"/>
      <c r="T169" s="323"/>
      <c r="U169" s="323"/>
      <c r="V169" s="318"/>
      <c r="W169" s="360"/>
      <c r="X169" s="316"/>
      <c r="Y169" s="351"/>
      <c r="Z169" s="409"/>
      <c r="AA169" s="324"/>
      <c r="AB169" s="326"/>
      <c r="AC169" s="325"/>
      <c r="AD169" s="326"/>
      <c r="AE169" s="327"/>
      <c r="AF169" s="313"/>
      <c r="AG169" s="313"/>
      <c r="AH169" s="410"/>
      <c r="AI169" s="330"/>
      <c r="AJ169" s="313"/>
      <c r="AK169" s="331"/>
      <c r="AL169" s="330"/>
      <c r="AM169" s="313"/>
      <c r="AN169" s="318"/>
      <c r="AO169" s="318"/>
      <c r="AP169" s="360"/>
      <c r="AQ169" s="315"/>
      <c r="AR169" s="315"/>
      <c r="AS169" s="315"/>
      <c r="AT169" s="318"/>
      <c r="AU169" s="333"/>
      <c r="AV169" s="360"/>
      <c r="AW169" s="333"/>
      <c r="AX169" s="315"/>
      <c r="AY169" s="315"/>
      <c r="AZ169" s="315"/>
      <c r="BA169" s="315"/>
      <c r="BB169" s="315"/>
    </row>
    <row r="170" spans="1:54" s="334" customFormat="1" ht="24" customHeight="1">
      <c r="A170" s="313"/>
      <c r="B170" s="317"/>
      <c r="C170" s="318"/>
      <c r="D170" s="315"/>
      <c r="E170" s="318"/>
      <c r="F170" s="288"/>
      <c r="G170" s="414"/>
      <c r="H170" s="360"/>
      <c r="I170" s="360"/>
      <c r="J170" s="313"/>
      <c r="K170" s="313"/>
      <c r="L170" s="318"/>
      <c r="M170" s="318"/>
      <c r="N170" s="318"/>
      <c r="O170" s="315"/>
      <c r="P170" s="415"/>
      <c r="Q170" s="413"/>
      <c r="R170" s="413"/>
      <c r="S170" s="415"/>
      <c r="T170" s="323"/>
      <c r="U170" s="323"/>
      <c r="V170" s="318"/>
      <c r="W170" s="360"/>
      <c r="X170" s="316"/>
      <c r="Y170" s="351"/>
      <c r="Z170" s="409"/>
      <c r="AA170" s="324"/>
      <c r="AB170" s="326"/>
      <c r="AC170" s="325"/>
      <c r="AD170" s="326"/>
      <c r="AE170" s="327"/>
      <c r="AF170" s="313"/>
      <c r="AG170" s="313"/>
      <c r="AH170" s="410"/>
      <c r="AI170" s="330"/>
      <c r="AJ170" s="313"/>
      <c r="AK170" s="331"/>
      <c r="AL170" s="330"/>
      <c r="AM170" s="313"/>
      <c r="AN170" s="318"/>
      <c r="AO170" s="318"/>
      <c r="AP170" s="360"/>
      <c r="AQ170" s="315"/>
      <c r="AR170" s="315"/>
      <c r="AS170" s="315"/>
      <c r="AT170" s="318"/>
      <c r="AU170" s="333"/>
      <c r="AV170" s="360"/>
      <c r="AW170" s="333"/>
      <c r="AX170" s="315"/>
      <c r="AY170" s="315"/>
      <c r="AZ170" s="315"/>
      <c r="BA170" s="315"/>
      <c r="BB170" s="315"/>
    </row>
    <row r="171" spans="1:54" s="334" customFormat="1" ht="24" customHeight="1">
      <c r="A171" s="313"/>
      <c r="B171" s="317"/>
      <c r="C171" s="318"/>
      <c r="D171" s="315"/>
      <c r="E171" s="318"/>
      <c r="F171" s="288"/>
      <c r="G171" s="414"/>
      <c r="H171" s="360"/>
      <c r="I171" s="360"/>
      <c r="J171" s="313"/>
      <c r="K171" s="313"/>
      <c r="L171" s="318"/>
      <c r="M171" s="318"/>
      <c r="N171" s="318"/>
      <c r="O171" s="315"/>
      <c r="P171" s="415"/>
      <c r="Q171" s="413"/>
      <c r="R171" s="413"/>
      <c r="S171" s="415"/>
      <c r="T171" s="323"/>
      <c r="U171" s="323"/>
      <c r="V171" s="318"/>
      <c r="W171" s="360"/>
      <c r="X171" s="316"/>
      <c r="Y171" s="351"/>
      <c r="Z171" s="409"/>
      <c r="AA171" s="324"/>
      <c r="AB171" s="326"/>
      <c r="AC171" s="325"/>
      <c r="AD171" s="326"/>
      <c r="AE171" s="327"/>
      <c r="AF171" s="313"/>
      <c r="AG171" s="313"/>
      <c r="AH171" s="410"/>
      <c r="AI171" s="330"/>
      <c r="AJ171" s="313"/>
      <c r="AK171" s="331"/>
      <c r="AL171" s="330"/>
      <c r="AM171" s="313"/>
      <c r="AN171" s="318"/>
      <c r="AO171" s="318"/>
      <c r="AP171" s="360"/>
      <c r="AQ171" s="315"/>
      <c r="AR171" s="315"/>
      <c r="AS171" s="315"/>
      <c r="AT171" s="318"/>
      <c r="AU171" s="333"/>
      <c r="AV171" s="360"/>
      <c r="AW171" s="333"/>
      <c r="AX171" s="315"/>
      <c r="AY171" s="315"/>
      <c r="AZ171" s="315"/>
      <c r="BA171" s="315"/>
      <c r="BB171" s="315"/>
    </row>
    <row r="172" spans="1:54" s="334" customFormat="1" ht="24" customHeight="1">
      <c r="A172" s="313"/>
      <c r="B172" s="317"/>
      <c r="C172" s="318"/>
      <c r="D172" s="315"/>
      <c r="E172" s="318"/>
      <c r="F172" s="288"/>
      <c r="G172" s="414"/>
      <c r="H172" s="360"/>
      <c r="I172" s="360"/>
      <c r="J172" s="313"/>
      <c r="K172" s="313"/>
      <c r="L172" s="318"/>
      <c r="M172" s="318"/>
      <c r="N172" s="318"/>
      <c r="O172" s="315"/>
      <c r="P172" s="415"/>
      <c r="Q172" s="413"/>
      <c r="R172" s="413"/>
      <c r="S172" s="415"/>
      <c r="T172" s="323"/>
      <c r="U172" s="323"/>
      <c r="V172" s="318"/>
      <c r="W172" s="360"/>
      <c r="X172" s="316"/>
      <c r="Y172" s="351"/>
      <c r="Z172" s="409"/>
      <c r="AA172" s="324"/>
      <c r="AB172" s="326"/>
      <c r="AC172" s="325"/>
      <c r="AD172" s="326"/>
      <c r="AE172" s="327"/>
      <c r="AF172" s="313"/>
      <c r="AG172" s="313"/>
      <c r="AH172" s="410"/>
      <c r="AI172" s="330"/>
      <c r="AJ172" s="313"/>
      <c r="AK172" s="331"/>
      <c r="AL172" s="330"/>
      <c r="AM172" s="313"/>
      <c r="AN172" s="318"/>
      <c r="AO172" s="318"/>
      <c r="AP172" s="360"/>
      <c r="AQ172" s="315"/>
      <c r="AR172" s="315"/>
      <c r="AS172" s="315"/>
      <c r="AT172" s="318"/>
      <c r="AU172" s="333"/>
      <c r="AV172" s="360"/>
      <c r="AW172" s="333"/>
      <c r="AX172" s="315"/>
      <c r="AY172" s="315"/>
      <c r="AZ172" s="315"/>
      <c r="BA172" s="315"/>
      <c r="BB172" s="315"/>
    </row>
    <row r="173" spans="1:54" s="334" customFormat="1" ht="24" customHeight="1">
      <c r="A173" s="313"/>
      <c r="B173" s="317"/>
      <c r="C173" s="318"/>
      <c r="D173" s="315"/>
      <c r="E173" s="318"/>
      <c r="F173" s="288"/>
      <c r="G173" s="414"/>
      <c r="H173" s="360"/>
      <c r="I173" s="360"/>
      <c r="J173" s="313"/>
      <c r="K173" s="313"/>
      <c r="L173" s="318"/>
      <c r="M173" s="318"/>
      <c r="N173" s="318"/>
      <c r="O173" s="315"/>
      <c r="P173" s="415"/>
      <c r="Q173" s="413"/>
      <c r="R173" s="413"/>
      <c r="S173" s="415"/>
      <c r="T173" s="323"/>
      <c r="U173" s="323"/>
      <c r="V173" s="318"/>
      <c r="W173" s="360"/>
      <c r="X173" s="316"/>
      <c r="Y173" s="351"/>
      <c r="Z173" s="409"/>
      <c r="AA173" s="324"/>
      <c r="AB173" s="326"/>
      <c r="AC173" s="325"/>
      <c r="AD173" s="326"/>
      <c r="AE173" s="327"/>
      <c r="AF173" s="313"/>
      <c r="AG173" s="313"/>
      <c r="AH173" s="410"/>
      <c r="AI173" s="330"/>
      <c r="AJ173" s="313"/>
      <c r="AK173" s="331"/>
      <c r="AL173" s="330"/>
      <c r="AM173" s="313"/>
      <c r="AN173" s="318"/>
      <c r="AO173" s="318"/>
      <c r="AP173" s="360"/>
      <c r="AQ173" s="315"/>
      <c r="AR173" s="315"/>
      <c r="AS173" s="315"/>
      <c r="AT173" s="318"/>
      <c r="AU173" s="333"/>
      <c r="AV173" s="360"/>
      <c r="AW173" s="333"/>
      <c r="AX173" s="315"/>
      <c r="AY173" s="315"/>
      <c r="AZ173" s="315"/>
      <c r="BA173" s="315"/>
      <c r="BB173" s="315"/>
    </row>
    <row r="174" spans="1:54" s="334" customFormat="1" ht="24" customHeight="1">
      <c r="A174" s="313"/>
      <c r="B174" s="317"/>
      <c r="C174" s="318"/>
      <c r="D174" s="315"/>
      <c r="E174" s="318"/>
      <c r="F174" s="288"/>
      <c r="G174" s="414"/>
      <c r="H174" s="360"/>
      <c r="I174" s="360"/>
      <c r="J174" s="313"/>
      <c r="K174" s="313"/>
      <c r="L174" s="318"/>
      <c r="M174" s="318"/>
      <c r="N174" s="318"/>
      <c r="O174" s="315"/>
      <c r="P174" s="415"/>
      <c r="Q174" s="413"/>
      <c r="R174" s="413"/>
      <c r="S174" s="415"/>
      <c r="T174" s="323"/>
      <c r="U174" s="323"/>
      <c r="V174" s="318"/>
      <c r="W174" s="360"/>
      <c r="X174" s="316"/>
      <c r="Y174" s="351"/>
      <c r="Z174" s="409"/>
      <c r="AA174" s="324"/>
      <c r="AB174" s="326"/>
      <c r="AC174" s="325"/>
      <c r="AD174" s="326"/>
      <c r="AE174" s="327"/>
      <c r="AF174" s="313"/>
      <c r="AG174" s="313"/>
      <c r="AH174" s="410"/>
      <c r="AI174" s="330"/>
      <c r="AJ174" s="313"/>
      <c r="AK174" s="331"/>
      <c r="AL174" s="330"/>
      <c r="AM174" s="313"/>
      <c r="AN174" s="318"/>
      <c r="AO174" s="318"/>
      <c r="AP174" s="360"/>
      <c r="AQ174" s="315"/>
      <c r="AR174" s="315"/>
      <c r="AS174" s="315"/>
      <c r="AT174" s="318"/>
      <c r="AU174" s="333"/>
      <c r="AV174" s="360"/>
      <c r="AW174" s="333"/>
      <c r="AX174" s="315"/>
      <c r="AY174" s="315"/>
      <c r="AZ174" s="315"/>
      <c r="BA174" s="315"/>
      <c r="BB174" s="315"/>
    </row>
    <row r="175" spans="1:54" s="334" customFormat="1" ht="24" customHeight="1">
      <c r="A175" s="313"/>
      <c r="B175" s="317"/>
      <c r="C175" s="318"/>
      <c r="D175" s="315"/>
      <c r="E175" s="318"/>
      <c r="F175" s="288"/>
      <c r="G175" s="414"/>
      <c r="H175" s="360"/>
      <c r="I175" s="360"/>
      <c r="J175" s="313"/>
      <c r="K175" s="313"/>
      <c r="L175" s="318"/>
      <c r="M175" s="318"/>
      <c r="N175" s="318"/>
      <c r="O175" s="315"/>
      <c r="P175" s="415"/>
      <c r="Q175" s="413"/>
      <c r="R175" s="413"/>
      <c r="S175" s="415"/>
      <c r="T175" s="323"/>
      <c r="U175" s="323"/>
      <c r="V175" s="318"/>
      <c r="W175" s="360"/>
      <c r="X175" s="316"/>
      <c r="Y175" s="351"/>
      <c r="Z175" s="409"/>
      <c r="AA175" s="324"/>
      <c r="AB175" s="326"/>
      <c r="AC175" s="325"/>
      <c r="AD175" s="326"/>
      <c r="AE175" s="327"/>
      <c r="AF175" s="313"/>
      <c r="AG175" s="313"/>
      <c r="AH175" s="410"/>
      <c r="AI175" s="330"/>
      <c r="AJ175" s="313"/>
      <c r="AK175" s="331"/>
      <c r="AL175" s="330"/>
      <c r="AM175" s="313"/>
      <c r="AN175" s="318"/>
      <c r="AO175" s="318"/>
      <c r="AP175" s="360"/>
      <c r="AQ175" s="315"/>
      <c r="AR175" s="315"/>
      <c r="AS175" s="315"/>
      <c r="AT175" s="318"/>
      <c r="AU175" s="333"/>
      <c r="AV175" s="360"/>
      <c r="AW175" s="333"/>
      <c r="AX175" s="315"/>
      <c r="AY175" s="315"/>
      <c r="AZ175" s="315"/>
      <c r="BA175" s="315"/>
      <c r="BB175" s="315"/>
    </row>
    <row r="176" spans="1:54" s="334" customFormat="1" ht="24" customHeight="1">
      <c r="A176" s="313"/>
      <c r="B176" s="317"/>
      <c r="C176" s="318"/>
      <c r="D176" s="315"/>
      <c r="E176" s="318"/>
      <c r="F176" s="288"/>
      <c r="G176" s="414"/>
      <c r="H176" s="360"/>
      <c r="I176" s="360"/>
      <c r="J176" s="313"/>
      <c r="K176" s="313"/>
      <c r="L176" s="318"/>
      <c r="M176" s="318"/>
      <c r="N176" s="318"/>
      <c r="O176" s="315"/>
      <c r="P176" s="415"/>
      <c r="Q176" s="413"/>
      <c r="R176" s="413"/>
      <c r="S176" s="415"/>
      <c r="T176" s="323"/>
      <c r="U176" s="323"/>
      <c r="V176" s="318"/>
      <c r="W176" s="360"/>
      <c r="X176" s="316"/>
      <c r="Y176" s="351"/>
      <c r="Z176" s="409"/>
      <c r="AA176" s="324"/>
      <c r="AB176" s="326"/>
      <c r="AC176" s="325"/>
      <c r="AD176" s="326"/>
      <c r="AE176" s="327"/>
      <c r="AF176" s="313"/>
      <c r="AG176" s="313"/>
      <c r="AH176" s="410"/>
      <c r="AI176" s="330"/>
      <c r="AJ176" s="313"/>
      <c r="AK176" s="331"/>
      <c r="AL176" s="330"/>
      <c r="AM176" s="313"/>
      <c r="AN176" s="318"/>
      <c r="AO176" s="318"/>
      <c r="AP176" s="360"/>
      <c r="AQ176" s="315"/>
      <c r="AR176" s="315"/>
      <c r="AS176" s="315"/>
      <c r="AT176" s="318"/>
      <c r="AU176" s="333"/>
      <c r="AV176" s="360"/>
      <c r="AW176" s="333"/>
      <c r="AX176" s="315"/>
      <c r="AY176" s="315"/>
      <c r="AZ176" s="315"/>
      <c r="BA176" s="315"/>
      <c r="BB176" s="315"/>
    </row>
    <row r="177" spans="1:56" s="334" customFormat="1" ht="24" customHeight="1">
      <c r="A177" s="313"/>
      <c r="B177" s="317"/>
      <c r="C177" s="318"/>
      <c r="D177" s="315"/>
      <c r="E177" s="318"/>
      <c r="F177" s="288"/>
      <c r="G177" s="414"/>
      <c r="H177" s="360"/>
      <c r="I177" s="360"/>
      <c r="J177" s="313"/>
      <c r="K177" s="313"/>
      <c r="L177" s="318"/>
      <c r="M177" s="318"/>
      <c r="N177" s="318"/>
      <c r="O177" s="315"/>
      <c r="P177" s="412"/>
      <c r="Q177" s="413"/>
      <c r="R177" s="413"/>
      <c r="S177" s="412"/>
      <c r="T177" s="323"/>
      <c r="U177" s="323"/>
      <c r="V177" s="318"/>
      <c r="W177" s="360"/>
      <c r="X177" s="316"/>
      <c r="Y177" s="351"/>
      <c r="Z177" s="409"/>
      <c r="AA177" s="324"/>
      <c r="AB177" s="326"/>
      <c r="AC177" s="325"/>
      <c r="AD177" s="326"/>
      <c r="AE177" s="327"/>
      <c r="AF177" s="313"/>
      <c r="AG177" s="313"/>
      <c r="AH177" s="410"/>
      <c r="AI177" s="330"/>
      <c r="AJ177" s="313"/>
      <c r="AK177" s="331"/>
      <c r="AL177" s="330"/>
      <c r="AM177" s="313"/>
      <c r="AN177" s="318"/>
      <c r="AO177" s="318"/>
      <c r="AP177" s="360"/>
      <c r="AQ177" s="315"/>
      <c r="AR177" s="315"/>
      <c r="AS177" s="315"/>
      <c r="AT177" s="318"/>
      <c r="AU177" s="333"/>
      <c r="AV177" s="360"/>
      <c r="AW177" s="333"/>
      <c r="AX177" s="315"/>
      <c r="AY177" s="315"/>
      <c r="AZ177" s="315"/>
      <c r="BA177" s="315"/>
      <c r="BB177" s="315"/>
    </row>
    <row r="178" spans="1:56" s="334" customFormat="1" ht="24" customHeight="1">
      <c r="A178" s="313"/>
      <c r="B178" s="317"/>
      <c r="C178" s="318"/>
      <c r="D178" s="315"/>
      <c r="E178" s="318"/>
      <c r="F178" s="288"/>
      <c r="G178" s="318"/>
      <c r="H178" s="360"/>
      <c r="I178" s="360"/>
      <c r="J178" s="313"/>
      <c r="K178" s="313"/>
      <c r="L178" s="318"/>
      <c r="M178" s="318"/>
      <c r="N178" s="318"/>
      <c r="O178" s="315"/>
      <c r="P178" s="412"/>
      <c r="Q178" s="413"/>
      <c r="R178" s="413"/>
      <c r="S178" s="412"/>
      <c r="T178" s="323"/>
      <c r="U178" s="323"/>
      <c r="V178" s="318"/>
      <c r="W178" s="360"/>
      <c r="X178" s="316"/>
      <c r="Y178" s="351"/>
      <c r="Z178" s="409"/>
      <c r="AA178" s="324"/>
      <c r="AB178" s="326"/>
      <c r="AC178" s="325"/>
      <c r="AD178" s="326"/>
      <c r="AE178" s="327"/>
      <c r="AF178" s="313"/>
      <c r="AG178" s="313"/>
      <c r="AH178" s="410"/>
      <c r="AI178" s="330"/>
      <c r="AJ178" s="313"/>
      <c r="AK178" s="331"/>
      <c r="AL178" s="330"/>
      <c r="AM178" s="313"/>
      <c r="AN178" s="318"/>
      <c r="AO178" s="318"/>
      <c r="AP178" s="360"/>
      <c r="AQ178" s="315"/>
      <c r="AR178" s="315"/>
      <c r="AS178" s="315"/>
      <c r="AT178" s="318"/>
      <c r="AU178" s="333"/>
      <c r="AV178" s="360"/>
      <c r="AW178" s="333"/>
      <c r="AX178" s="315"/>
      <c r="AY178" s="315"/>
      <c r="AZ178" s="315"/>
      <c r="BA178" s="315"/>
      <c r="BB178" s="315"/>
    </row>
    <row r="179" spans="1:56" s="334" customFormat="1" ht="24" customHeight="1">
      <c r="A179" s="313"/>
      <c r="B179" s="317"/>
      <c r="C179" s="318"/>
      <c r="D179" s="315"/>
      <c r="E179" s="318"/>
      <c r="F179" s="288"/>
      <c r="G179" s="318"/>
      <c r="H179" s="360"/>
      <c r="I179" s="360"/>
      <c r="J179" s="313"/>
      <c r="K179" s="313"/>
      <c r="L179" s="318"/>
      <c r="M179" s="318"/>
      <c r="N179" s="318"/>
      <c r="O179" s="315"/>
      <c r="P179" s="412"/>
      <c r="Q179" s="413"/>
      <c r="R179" s="413"/>
      <c r="S179" s="412"/>
      <c r="T179" s="323"/>
      <c r="U179" s="323"/>
      <c r="V179" s="318"/>
      <c r="W179" s="360"/>
      <c r="X179" s="316"/>
      <c r="Y179" s="351"/>
      <c r="Z179" s="409"/>
      <c r="AA179" s="324"/>
      <c r="AB179" s="326"/>
      <c r="AC179" s="325"/>
      <c r="AD179" s="326"/>
      <c r="AE179" s="327"/>
      <c r="AF179" s="313"/>
      <c r="AG179" s="313"/>
      <c r="AH179" s="410"/>
      <c r="AI179" s="330"/>
      <c r="AJ179" s="313"/>
      <c r="AK179" s="331"/>
      <c r="AL179" s="330"/>
      <c r="AM179" s="313"/>
      <c r="AN179" s="318"/>
      <c r="AO179" s="318"/>
      <c r="AP179" s="360"/>
      <c r="AQ179" s="315"/>
      <c r="AR179" s="315"/>
      <c r="AS179" s="315"/>
      <c r="AT179" s="318"/>
      <c r="AU179" s="333"/>
      <c r="AV179" s="360"/>
      <c r="AW179" s="333"/>
      <c r="AX179" s="315"/>
      <c r="AY179" s="315"/>
      <c r="AZ179" s="315"/>
      <c r="BA179" s="315"/>
      <c r="BB179" s="315"/>
    </row>
    <row r="180" spans="1:56" s="334" customFormat="1" ht="24" customHeight="1">
      <c r="A180" s="313"/>
      <c r="B180" s="317"/>
      <c r="C180" s="318"/>
      <c r="D180" s="315"/>
      <c r="E180" s="318"/>
      <c r="F180" s="288"/>
      <c r="G180" s="318"/>
      <c r="H180" s="360"/>
      <c r="I180" s="360"/>
      <c r="J180" s="313"/>
      <c r="K180" s="313"/>
      <c r="L180" s="318"/>
      <c r="M180" s="318"/>
      <c r="N180" s="318"/>
      <c r="O180" s="315"/>
      <c r="P180" s="412"/>
      <c r="Q180" s="413"/>
      <c r="R180" s="413"/>
      <c r="S180" s="412"/>
      <c r="T180" s="323"/>
      <c r="U180" s="323"/>
      <c r="V180" s="318"/>
      <c r="W180" s="360"/>
      <c r="X180" s="316"/>
      <c r="Y180" s="351"/>
      <c r="Z180" s="409"/>
      <c r="AA180" s="324"/>
      <c r="AB180" s="326"/>
      <c r="AC180" s="325"/>
      <c r="AD180" s="326"/>
      <c r="AE180" s="327"/>
      <c r="AF180" s="313"/>
      <c r="AG180" s="313"/>
      <c r="AH180" s="410"/>
      <c r="AI180" s="330"/>
      <c r="AJ180" s="313"/>
      <c r="AK180" s="331"/>
      <c r="AL180" s="330"/>
      <c r="AM180" s="313"/>
      <c r="AN180" s="318"/>
      <c r="AO180" s="318"/>
      <c r="AP180" s="360"/>
      <c r="AQ180" s="315"/>
      <c r="AR180" s="315"/>
      <c r="AS180" s="315"/>
      <c r="AT180" s="318"/>
      <c r="AU180" s="333"/>
      <c r="AV180" s="360"/>
      <c r="AW180" s="333"/>
      <c r="AX180" s="315"/>
      <c r="AY180" s="315"/>
      <c r="AZ180" s="315"/>
      <c r="BA180" s="315"/>
      <c r="BB180" s="315"/>
    </row>
    <row r="181" spans="1:56" s="334" customFormat="1" ht="24" customHeight="1">
      <c r="A181" s="313"/>
      <c r="B181" s="317"/>
      <c r="C181" s="314"/>
      <c r="D181" s="315"/>
      <c r="E181" s="335"/>
      <c r="F181" s="346"/>
      <c r="G181" s="348"/>
      <c r="H181" s="350"/>
      <c r="I181" s="350"/>
      <c r="J181" s="313"/>
      <c r="K181" s="313"/>
      <c r="L181" s="400"/>
      <c r="M181" s="400"/>
      <c r="N181" s="332"/>
      <c r="O181" s="315"/>
      <c r="P181" s="322"/>
      <c r="Q181" s="323"/>
      <c r="R181" s="323"/>
      <c r="S181" s="322"/>
      <c r="T181" s="323"/>
      <c r="U181" s="323"/>
      <c r="V181" s="335"/>
      <c r="W181" s="289"/>
      <c r="X181" s="340"/>
      <c r="Y181" s="289"/>
      <c r="Z181" s="289"/>
      <c r="AA181" s="318"/>
      <c r="AB181" s="326"/>
      <c r="AC181" s="326"/>
      <c r="AD181" s="326"/>
      <c r="AE181" s="327"/>
      <c r="AF181" s="313"/>
      <c r="AG181" s="419"/>
      <c r="AH181" s="332"/>
      <c r="AI181" s="330"/>
      <c r="AJ181" s="313"/>
      <c r="AK181" s="331"/>
      <c r="AL181" s="364"/>
      <c r="AM181" s="313"/>
      <c r="AN181" s="332"/>
      <c r="AO181" s="288"/>
      <c r="AP181" s="398"/>
      <c r="AQ181" s="315"/>
      <c r="AR181" s="315"/>
      <c r="AS181" s="315"/>
      <c r="AT181" s="385"/>
      <c r="AU181" s="333"/>
      <c r="AV181" s="333"/>
      <c r="AW181" s="333"/>
      <c r="AX181" s="315"/>
      <c r="AY181" s="315"/>
      <c r="AZ181" s="315"/>
      <c r="BA181" s="315"/>
      <c r="BB181" s="315"/>
    </row>
    <row r="182" spans="1:56" s="334" customFormat="1" ht="24" customHeight="1">
      <c r="A182" s="313"/>
      <c r="B182" s="314"/>
      <c r="C182" s="314"/>
      <c r="D182" s="315"/>
      <c r="E182" s="288"/>
      <c r="F182" s="420"/>
      <c r="G182" s="288"/>
      <c r="H182" s="350"/>
      <c r="I182" s="350"/>
      <c r="J182" s="313"/>
      <c r="K182" s="313"/>
      <c r="L182" s="353"/>
      <c r="M182" s="353"/>
      <c r="N182" s="288"/>
      <c r="O182" s="315"/>
      <c r="P182" s="322"/>
      <c r="Q182" s="323"/>
      <c r="R182" s="323"/>
      <c r="S182" s="322"/>
      <c r="T182" s="323"/>
      <c r="U182" s="323"/>
      <c r="V182" s="313"/>
      <c r="W182" s="367"/>
      <c r="X182" s="340"/>
      <c r="Y182" s="289"/>
      <c r="Z182" s="326"/>
      <c r="AA182" s="324"/>
      <c r="AB182" s="326"/>
      <c r="AC182" s="325"/>
      <c r="AD182" s="326"/>
      <c r="AE182" s="327"/>
      <c r="AF182" s="313"/>
      <c r="AG182" s="313"/>
      <c r="AH182" s="329"/>
      <c r="AI182" s="330"/>
      <c r="AJ182" s="313"/>
      <c r="AK182" s="331"/>
      <c r="AL182" s="330"/>
      <c r="AM182" s="313"/>
      <c r="AN182" s="332"/>
      <c r="AO182" s="288"/>
      <c r="AP182" s="328"/>
      <c r="AQ182" s="315"/>
      <c r="AR182" s="315"/>
      <c r="AS182" s="315"/>
      <c r="AT182" s="385"/>
      <c r="AU182" s="333"/>
      <c r="AV182" s="333"/>
      <c r="AW182" s="333"/>
      <c r="AX182" s="352"/>
      <c r="AY182" s="315"/>
      <c r="AZ182" s="315"/>
      <c r="BA182" s="352"/>
      <c r="BB182" s="352"/>
    </row>
    <row r="183" spans="1:56" s="334" customFormat="1" ht="24" customHeight="1">
      <c r="A183" s="313"/>
      <c r="B183" s="314"/>
      <c r="C183" s="314"/>
      <c r="D183" s="315"/>
      <c r="E183" s="314"/>
      <c r="F183" s="314"/>
      <c r="G183" s="314"/>
      <c r="H183" s="350"/>
      <c r="I183" s="350"/>
      <c r="J183" s="313"/>
      <c r="K183" s="313"/>
      <c r="L183" s="347"/>
      <c r="M183" s="347"/>
      <c r="N183" s="332"/>
      <c r="O183" s="315"/>
      <c r="P183" s="322"/>
      <c r="Q183" s="323"/>
      <c r="R183" s="323"/>
      <c r="S183" s="322"/>
      <c r="T183" s="323"/>
      <c r="U183" s="323"/>
      <c r="V183" s="313"/>
      <c r="W183" s="367"/>
      <c r="X183" s="340"/>
      <c r="Y183" s="289"/>
      <c r="Z183" s="326"/>
      <c r="AA183" s="324"/>
      <c r="AB183" s="326"/>
      <c r="AC183" s="326"/>
      <c r="AD183" s="326"/>
      <c r="AE183" s="327"/>
      <c r="AF183" s="313"/>
      <c r="AG183" s="313"/>
      <c r="AH183" s="332"/>
      <c r="AI183" s="330"/>
      <c r="AJ183" s="313"/>
      <c r="AK183" s="331"/>
      <c r="AL183" s="330"/>
      <c r="AM183" s="313"/>
      <c r="AN183" s="332"/>
      <c r="AO183" s="288"/>
      <c r="AP183" s="328"/>
      <c r="AQ183" s="315"/>
      <c r="AR183" s="315"/>
      <c r="AS183" s="315"/>
      <c r="AT183" s="385"/>
      <c r="AU183" s="333"/>
      <c r="AV183" s="333"/>
      <c r="AW183" s="333"/>
      <c r="AX183" s="352"/>
      <c r="AY183" s="315"/>
      <c r="AZ183" s="315"/>
      <c r="BA183" s="352"/>
      <c r="BB183" s="352"/>
      <c r="BC183" s="399"/>
      <c r="BD183" s="379"/>
    </row>
    <row r="184" spans="1:56" s="334" customFormat="1" ht="24" customHeight="1">
      <c r="A184" s="313"/>
      <c r="B184" s="314"/>
      <c r="C184" s="314"/>
      <c r="D184" s="315"/>
      <c r="E184" s="314"/>
      <c r="F184" s="314"/>
      <c r="G184" s="314"/>
      <c r="H184" s="350"/>
      <c r="I184" s="350"/>
      <c r="J184" s="313"/>
      <c r="K184" s="313"/>
      <c r="L184" s="347"/>
      <c r="M184" s="347"/>
      <c r="N184" s="332"/>
      <c r="O184" s="315"/>
      <c r="P184" s="322"/>
      <c r="Q184" s="323"/>
      <c r="R184" s="67"/>
      <c r="S184" s="322"/>
      <c r="T184" s="323"/>
      <c r="U184" s="323"/>
      <c r="V184" s="313"/>
      <c r="W184" s="367"/>
      <c r="X184" s="316"/>
      <c r="Y184" s="289"/>
      <c r="Z184" s="326"/>
      <c r="AA184" s="324"/>
      <c r="AB184" s="289"/>
      <c r="AC184" s="326"/>
      <c r="AD184" s="326"/>
      <c r="AE184" s="327"/>
      <c r="AF184" s="313"/>
      <c r="AG184" s="313"/>
      <c r="AH184" s="332"/>
      <c r="AI184" s="330"/>
      <c r="AJ184" s="313"/>
      <c r="AK184" s="331"/>
      <c r="AL184" s="330"/>
      <c r="AM184" s="313"/>
      <c r="AN184" s="332"/>
      <c r="AO184" s="288"/>
      <c r="AP184" s="328"/>
      <c r="AQ184" s="315"/>
      <c r="AR184" s="315"/>
      <c r="AS184" s="315"/>
      <c r="AT184" s="385"/>
      <c r="AU184" s="333"/>
      <c r="AV184" s="388"/>
      <c r="AW184" s="388"/>
      <c r="AX184" s="380"/>
      <c r="AY184" s="315"/>
      <c r="AZ184" s="315"/>
      <c r="BA184" s="386"/>
      <c r="BB184" s="386"/>
      <c r="BC184" s="384"/>
      <c r="BD184" s="379"/>
    </row>
    <row r="185" spans="1:56" s="334" customFormat="1" ht="24" customHeight="1">
      <c r="A185" s="313"/>
      <c r="B185" s="317"/>
      <c r="C185" s="314"/>
      <c r="D185" s="315"/>
      <c r="E185" s="346"/>
      <c r="F185" s="346"/>
      <c r="G185" s="348"/>
      <c r="H185" s="350"/>
      <c r="I185" s="350"/>
      <c r="J185" s="313"/>
      <c r="K185" s="313"/>
      <c r="L185" s="400"/>
      <c r="M185" s="400"/>
      <c r="N185" s="332"/>
      <c r="O185" s="315"/>
      <c r="P185" s="322"/>
      <c r="Q185" s="323"/>
      <c r="R185" s="323"/>
      <c r="S185" s="322"/>
      <c r="T185" s="323"/>
      <c r="U185" s="323"/>
      <c r="V185" s="335"/>
      <c r="W185" s="289"/>
      <c r="X185" s="316"/>
      <c r="Y185" s="289"/>
      <c r="Z185" s="289"/>
      <c r="AA185" s="318"/>
      <c r="AB185" s="326"/>
      <c r="AC185" s="326"/>
      <c r="AD185" s="326"/>
      <c r="AE185" s="327"/>
      <c r="AF185" s="313"/>
      <c r="AG185" s="419"/>
      <c r="AH185" s="332"/>
      <c r="AI185" s="330"/>
      <c r="AJ185" s="313"/>
      <c r="AK185" s="331"/>
      <c r="AL185" s="364"/>
      <c r="AM185" s="313"/>
      <c r="AN185" s="332"/>
      <c r="AO185" s="288"/>
      <c r="AP185" s="398"/>
      <c r="AQ185" s="315"/>
      <c r="AR185" s="315"/>
      <c r="AS185" s="315"/>
      <c r="AT185" s="385"/>
      <c r="AU185" s="333"/>
      <c r="AV185" s="333"/>
      <c r="AW185" s="333"/>
      <c r="AX185" s="315"/>
      <c r="AY185" s="315"/>
      <c r="AZ185" s="315"/>
      <c r="BA185" s="315"/>
      <c r="BB185" s="315"/>
    </row>
    <row r="186" spans="1:56" s="334" customFormat="1" ht="24" customHeight="1">
      <c r="A186" s="313"/>
      <c r="B186" s="317"/>
      <c r="C186" s="288"/>
      <c r="D186" s="315"/>
      <c r="E186" s="341"/>
      <c r="F186" s="318"/>
      <c r="G186" s="354"/>
      <c r="H186" s="350"/>
      <c r="I186" s="350"/>
      <c r="J186" s="313"/>
      <c r="K186" s="313"/>
      <c r="L186" s="347"/>
      <c r="M186" s="347"/>
      <c r="N186" s="332"/>
      <c r="O186" s="315"/>
      <c r="P186" s="344"/>
      <c r="Q186" s="322"/>
      <c r="R186" s="323"/>
      <c r="S186" s="322"/>
      <c r="T186" s="323"/>
      <c r="U186" s="323"/>
      <c r="V186" s="313"/>
      <c r="W186" s="289"/>
      <c r="X186" s="340"/>
      <c r="Y186" s="326"/>
      <c r="Z186" s="326"/>
      <c r="AA186" s="421"/>
      <c r="AB186" s="326"/>
      <c r="AC186" s="326"/>
      <c r="AD186" s="326"/>
      <c r="AE186" s="324"/>
      <c r="AF186" s="313"/>
      <c r="AG186" s="197"/>
      <c r="AH186" s="332"/>
      <c r="AI186" s="330"/>
      <c r="AJ186" s="313"/>
      <c r="AK186" s="331"/>
      <c r="AL186" s="364"/>
      <c r="AM186" s="313"/>
      <c r="AN186" s="332"/>
      <c r="AO186" s="332"/>
      <c r="AP186" s="360"/>
      <c r="AQ186" s="315"/>
      <c r="AR186" s="315"/>
      <c r="AS186" s="315"/>
      <c r="AT186" s="385"/>
      <c r="AU186" s="333"/>
      <c r="AV186" s="333"/>
      <c r="AW186" s="333"/>
      <c r="AX186" s="315"/>
      <c r="AY186" s="315"/>
      <c r="AZ186" s="315"/>
      <c r="BA186" s="386"/>
      <c r="BB186" s="386"/>
    </row>
    <row r="187" spans="1:56" s="334" customFormat="1" ht="24" customHeight="1">
      <c r="A187" s="313"/>
      <c r="B187" s="317"/>
      <c r="C187" s="288"/>
      <c r="D187" s="315"/>
      <c r="E187" s="341"/>
      <c r="F187" s="288"/>
      <c r="G187" s="354"/>
      <c r="H187" s="289"/>
      <c r="I187" s="289"/>
      <c r="J187" s="313"/>
      <c r="K187" s="313"/>
      <c r="L187" s="347"/>
      <c r="M187" s="353"/>
      <c r="N187" s="332"/>
      <c r="O187" s="315"/>
      <c r="P187" s="322"/>
      <c r="Q187" s="322"/>
      <c r="R187" s="323"/>
      <c r="S187" s="322"/>
      <c r="T187" s="323"/>
      <c r="U187" s="323"/>
      <c r="V187" s="313"/>
      <c r="W187" s="289"/>
      <c r="X187" s="340"/>
      <c r="Y187" s="326"/>
      <c r="Z187" s="326"/>
      <c r="AA187" s="421"/>
      <c r="AB187" s="326"/>
      <c r="AC187" s="326"/>
      <c r="AD187" s="326"/>
      <c r="AE187" s="327"/>
      <c r="AF187" s="313"/>
      <c r="AG187" s="407"/>
      <c r="AH187" s="329"/>
      <c r="AI187" s="330"/>
      <c r="AJ187" s="313"/>
      <c r="AK187" s="331"/>
      <c r="AL187" s="364"/>
      <c r="AM187" s="313"/>
      <c r="AN187" s="332"/>
      <c r="AO187" s="288"/>
      <c r="AP187" s="360"/>
      <c r="AQ187" s="315"/>
      <c r="AR187" s="315"/>
      <c r="AS187" s="315"/>
      <c r="AT187" s="385"/>
      <c r="AU187" s="333"/>
      <c r="AV187" s="333"/>
      <c r="AW187" s="333"/>
      <c r="AX187" s="315"/>
      <c r="AY187" s="315"/>
      <c r="AZ187" s="315"/>
      <c r="BA187" s="386"/>
      <c r="BB187" s="386"/>
    </row>
    <row r="188" spans="1:56" s="213" customFormat="1" ht="24" customHeight="1">
      <c r="A188" s="313"/>
      <c r="B188" s="317"/>
      <c r="C188" s="288"/>
      <c r="D188" s="315"/>
      <c r="E188" s="341"/>
      <c r="F188" s="288"/>
      <c r="G188" s="354"/>
      <c r="H188" s="289"/>
      <c r="I188" s="289"/>
      <c r="J188" s="313"/>
      <c r="K188" s="313"/>
      <c r="L188" s="347"/>
      <c r="M188" s="353"/>
      <c r="N188" s="332"/>
      <c r="O188" s="315"/>
      <c r="P188" s="322"/>
      <c r="Q188" s="322"/>
      <c r="R188" s="323"/>
      <c r="S188" s="322"/>
      <c r="T188" s="323"/>
      <c r="U188" s="323"/>
      <c r="V188" s="313"/>
      <c r="W188" s="289"/>
      <c r="X188" s="340"/>
      <c r="Y188" s="326"/>
      <c r="Z188" s="326"/>
      <c r="AA188" s="421"/>
      <c r="AB188" s="326"/>
      <c r="AC188" s="326"/>
      <c r="AD188" s="326"/>
      <c r="AE188" s="327"/>
      <c r="AF188" s="313"/>
      <c r="AG188" s="407"/>
      <c r="AH188" s="329"/>
      <c r="AI188" s="330"/>
      <c r="AJ188" s="313"/>
      <c r="AK188" s="331"/>
      <c r="AL188" s="364"/>
      <c r="AM188" s="313"/>
      <c r="AN188" s="332"/>
      <c r="AO188" s="288"/>
      <c r="AP188" s="360"/>
      <c r="AQ188" s="315"/>
      <c r="AR188" s="315"/>
      <c r="AS188" s="315"/>
      <c r="AT188" s="385"/>
      <c r="AU188" s="333"/>
      <c r="AV188" s="333"/>
      <c r="AW188" s="333"/>
      <c r="AX188" s="315"/>
      <c r="AY188" s="315"/>
      <c r="AZ188" s="315"/>
      <c r="BA188" s="386"/>
      <c r="BB188" s="386"/>
    </row>
    <row r="189" spans="1:56" s="213" customFormat="1" ht="24" customHeight="1">
      <c r="A189" s="197"/>
      <c r="B189" s="198"/>
      <c r="C189" s="198"/>
      <c r="D189" s="193"/>
      <c r="E189" s="194"/>
      <c r="F189" s="239"/>
      <c r="G189" s="194"/>
      <c r="H189" s="217"/>
      <c r="I189" s="217"/>
      <c r="J189" s="313"/>
      <c r="K189" s="313"/>
      <c r="L189" s="233"/>
      <c r="M189" s="233"/>
      <c r="N189" s="194"/>
      <c r="O189" s="315"/>
      <c r="P189" s="203"/>
      <c r="Q189" s="204"/>
      <c r="R189" s="204"/>
      <c r="S189" s="203"/>
      <c r="T189" s="204"/>
      <c r="U189" s="204"/>
      <c r="V189" s="197"/>
      <c r="W189" s="205"/>
      <c r="X189" s="194"/>
      <c r="Y189" s="224"/>
      <c r="Z189" s="224"/>
      <c r="AA189" s="237"/>
      <c r="AB189" s="206"/>
      <c r="AC189" s="207"/>
      <c r="AD189" s="206"/>
      <c r="AE189" s="209"/>
      <c r="AF189" s="197"/>
      <c r="AG189" s="197"/>
      <c r="AH189" s="222"/>
      <c r="AI189" s="210"/>
      <c r="AJ189" s="197"/>
      <c r="AK189" s="211"/>
      <c r="AL189" s="210"/>
      <c r="AM189" s="197"/>
      <c r="AN189" s="202"/>
      <c r="AO189" s="195"/>
      <c r="AP189" s="195"/>
      <c r="AQ189" s="193"/>
      <c r="AR189" s="193"/>
      <c r="AS189" s="193"/>
      <c r="AT189" s="193"/>
      <c r="AU189" s="193"/>
      <c r="AV189" s="193"/>
      <c r="AW189" s="193"/>
      <c r="AX189" s="193"/>
      <c r="AY189" s="193"/>
      <c r="AZ189" s="193"/>
      <c r="BA189" s="193"/>
      <c r="BB189" s="193"/>
    </row>
    <row r="190" spans="1:56" s="213" customFormat="1" ht="24" customHeight="1">
      <c r="A190" s="197"/>
      <c r="B190" s="198"/>
      <c r="C190" s="198"/>
      <c r="D190" s="193"/>
      <c r="E190" s="194"/>
      <c r="F190" s="239"/>
      <c r="G190" s="194"/>
      <c r="H190" s="217"/>
      <c r="I190" s="217"/>
      <c r="J190" s="313"/>
      <c r="K190" s="313"/>
      <c r="L190" s="233"/>
      <c r="M190" s="233"/>
      <c r="N190" s="194"/>
      <c r="O190" s="315"/>
      <c r="P190" s="203"/>
      <c r="Q190" s="204"/>
      <c r="R190" s="204"/>
      <c r="S190" s="203"/>
      <c r="T190" s="204"/>
      <c r="U190" s="204"/>
      <c r="V190" s="197"/>
      <c r="W190" s="205"/>
      <c r="X190" s="194"/>
      <c r="Y190" s="224"/>
      <c r="Z190" s="224"/>
      <c r="AA190" s="237"/>
      <c r="AB190" s="206"/>
      <c r="AC190" s="207"/>
      <c r="AD190" s="206"/>
      <c r="AE190" s="209"/>
      <c r="AF190" s="197"/>
      <c r="AG190" s="197"/>
      <c r="AH190" s="222"/>
      <c r="AI190" s="210"/>
      <c r="AJ190" s="197"/>
      <c r="AK190" s="211"/>
      <c r="AL190" s="210"/>
      <c r="AM190" s="197"/>
      <c r="AN190" s="202"/>
      <c r="AO190" s="195"/>
      <c r="AP190" s="195"/>
      <c r="AQ190" s="193"/>
      <c r="AR190" s="193"/>
      <c r="AS190" s="193"/>
      <c r="AT190" s="193"/>
      <c r="AU190" s="193"/>
      <c r="AV190" s="193"/>
      <c r="AW190" s="193"/>
      <c r="AX190" s="193"/>
      <c r="AY190" s="193"/>
      <c r="AZ190" s="193"/>
      <c r="BA190" s="193"/>
      <c r="BB190" s="193"/>
    </row>
    <row r="191" spans="1:56" s="213" customFormat="1" ht="24" customHeight="1">
      <c r="A191" s="197"/>
      <c r="B191" s="198"/>
      <c r="C191" s="198"/>
      <c r="D191" s="193"/>
      <c r="E191" s="231"/>
      <c r="F191" s="232"/>
      <c r="G191" s="231"/>
      <c r="H191" s="217"/>
      <c r="I191" s="217"/>
      <c r="J191" s="313"/>
      <c r="K191" s="313"/>
      <c r="L191" s="233"/>
      <c r="M191" s="233"/>
      <c r="N191" s="194"/>
      <c r="O191" s="315"/>
      <c r="P191" s="203"/>
      <c r="Q191" s="204"/>
      <c r="R191" s="204"/>
      <c r="S191" s="203"/>
      <c r="T191" s="204"/>
      <c r="U191" s="204"/>
      <c r="V191" s="197"/>
      <c r="W191" s="205"/>
      <c r="X191" s="194"/>
      <c r="Y191" s="224"/>
      <c r="Z191" s="224"/>
      <c r="AA191" s="237"/>
      <c r="AB191" s="206"/>
      <c r="AC191" s="207"/>
      <c r="AD191" s="206"/>
      <c r="AE191" s="209"/>
      <c r="AF191" s="197"/>
      <c r="AG191" s="197"/>
      <c r="AH191" s="222"/>
      <c r="AI191" s="210"/>
      <c r="AJ191" s="197"/>
      <c r="AK191" s="211"/>
      <c r="AL191" s="210"/>
      <c r="AM191" s="197"/>
      <c r="AN191" s="202"/>
      <c r="AO191" s="195"/>
      <c r="AP191" s="195"/>
      <c r="AQ191" s="193"/>
      <c r="AR191" s="193"/>
      <c r="AS191" s="193"/>
      <c r="AT191" s="193"/>
      <c r="AU191" s="193"/>
      <c r="AV191" s="193"/>
      <c r="AW191" s="193"/>
      <c r="AX191" s="193"/>
      <c r="AY191" s="193"/>
      <c r="AZ191" s="193"/>
      <c r="BA191" s="193"/>
      <c r="BB191" s="193"/>
    </row>
    <row r="192" spans="1:56" s="213" customFormat="1" ht="24" customHeight="1">
      <c r="A192" s="197"/>
      <c r="B192" s="198"/>
      <c r="C192" s="198"/>
      <c r="D192" s="193"/>
      <c r="E192" s="231"/>
      <c r="F192" s="232"/>
      <c r="G192" s="231"/>
      <c r="H192" s="217"/>
      <c r="I192" s="217"/>
      <c r="J192" s="313"/>
      <c r="K192" s="313"/>
      <c r="L192" s="233"/>
      <c r="M192" s="233"/>
      <c r="N192" s="194"/>
      <c r="O192" s="315"/>
      <c r="P192" s="203"/>
      <c r="Q192" s="203"/>
      <c r="R192" s="204"/>
      <c r="S192" s="203"/>
      <c r="T192" s="204"/>
      <c r="U192" s="204"/>
      <c r="V192" s="197"/>
      <c r="W192" s="205"/>
      <c r="X192" s="194"/>
      <c r="Y192" s="224"/>
      <c r="Z192" s="224"/>
      <c r="AA192" s="237"/>
      <c r="AB192" s="206"/>
      <c r="AC192" s="207"/>
      <c r="AD192" s="206"/>
      <c r="AE192" s="209"/>
      <c r="AF192" s="197"/>
      <c r="AG192" s="197"/>
      <c r="AH192" s="202"/>
      <c r="AI192" s="210"/>
      <c r="AJ192" s="197"/>
      <c r="AK192" s="211"/>
      <c r="AL192" s="210"/>
      <c r="AM192" s="197"/>
      <c r="AN192" s="202"/>
      <c r="AO192" s="195"/>
      <c r="AP192" s="195"/>
      <c r="AQ192" s="193"/>
      <c r="AR192" s="193"/>
      <c r="AS192" s="193"/>
      <c r="AT192" s="193"/>
      <c r="AU192" s="193"/>
      <c r="AV192" s="193"/>
      <c r="AW192" s="193"/>
      <c r="AX192" s="193"/>
      <c r="AY192" s="193"/>
      <c r="AZ192" s="193"/>
      <c r="BA192" s="193"/>
      <c r="BB192" s="193"/>
    </row>
    <row r="193" spans="1:55" s="213" customFormat="1" ht="24" customHeight="1">
      <c r="A193" s="197"/>
      <c r="B193" s="198"/>
      <c r="C193" s="194"/>
      <c r="D193" s="193"/>
      <c r="E193" s="194"/>
      <c r="F193" s="240"/>
      <c r="G193" s="194"/>
      <c r="H193" s="217"/>
      <c r="I193" s="217"/>
      <c r="J193" s="313"/>
      <c r="K193" s="313"/>
      <c r="L193" s="194"/>
      <c r="M193" s="194"/>
      <c r="N193" s="194"/>
      <c r="O193" s="315"/>
      <c r="P193" s="203"/>
      <c r="Q193" s="203"/>
      <c r="R193" s="203"/>
      <c r="S193" s="203"/>
      <c r="T193" s="204"/>
      <c r="U193" s="204"/>
      <c r="V193" s="197"/>
      <c r="W193" s="205"/>
      <c r="X193" s="240"/>
      <c r="Y193" s="220"/>
      <c r="Z193" s="207"/>
      <c r="AA193" s="208"/>
      <c r="AB193" s="206"/>
      <c r="AC193" s="207"/>
      <c r="AD193" s="206"/>
      <c r="AE193" s="209"/>
      <c r="AF193" s="197"/>
      <c r="AG193" s="197"/>
      <c r="AH193" s="222"/>
      <c r="AI193" s="210"/>
      <c r="AJ193" s="197"/>
      <c r="AK193" s="211"/>
      <c r="AL193" s="210"/>
      <c r="AM193" s="197"/>
      <c r="AN193" s="202"/>
      <c r="AO193" s="202"/>
      <c r="AP193" s="202"/>
      <c r="AQ193" s="193"/>
      <c r="AR193" s="193"/>
      <c r="AS193" s="193"/>
      <c r="AT193" s="193"/>
      <c r="AU193" s="193"/>
      <c r="AV193" s="193"/>
      <c r="AW193" s="193"/>
      <c r="AX193" s="193"/>
      <c r="AY193" s="193"/>
      <c r="AZ193" s="193"/>
      <c r="BA193" s="193"/>
      <c r="BB193" s="193"/>
    </row>
    <row r="194" spans="1:55" s="213" customFormat="1" ht="24" customHeight="1">
      <c r="A194" s="197"/>
      <c r="B194" s="198"/>
      <c r="C194" s="194"/>
      <c r="D194" s="193"/>
      <c r="E194" s="194"/>
      <c r="F194" s="240"/>
      <c r="G194" s="194"/>
      <c r="H194" s="217"/>
      <c r="I194" s="217"/>
      <c r="J194" s="313"/>
      <c r="K194" s="313"/>
      <c r="L194" s="194"/>
      <c r="M194" s="194"/>
      <c r="N194" s="194"/>
      <c r="O194" s="315"/>
      <c r="P194" s="203"/>
      <c r="Q194" s="203"/>
      <c r="R194" s="204"/>
      <c r="S194" s="203"/>
      <c r="T194" s="204"/>
      <c r="U194" s="204"/>
      <c r="V194" s="197"/>
      <c r="W194" s="205"/>
      <c r="X194" s="240"/>
      <c r="Y194" s="220"/>
      <c r="Z194" s="207"/>
      <c r="AA194" s="208"/>
      <c r="AB194" s="206"/>
      <c r="AC194" s="207"/>
      <c r="AD194" s="206"/>
      <c r="AE194" s="209"/>
      <c r="AF194" s="197"/>
      <c r="AG194" s="197"/>
      <c r="AH194" s="202"/>
      <c r="AI194" s="210"/>
      <c r="AJ194" s="197"/>
      <c r="AK194" s="211"/>
      <c r="AL194" s="210"/>
      <c r="AM194" s="197"/>
      <c r="AN194" s="202"/>
      <c r="AO194" s="202"/>
      <c r="AP194" s="202"/>
      <c r="AQ194" s="193"/>
      <c r="AR194" s="193"/>
      <c r="AS194" s="193"/>
      <c r="AT194" s="193"/>
      <c r="AU194" s="193"/>
      <c r="AV194" s="193"/>
      <c r="AW194" s="193"/>
      <c r="AX194" s="193"/>
      <c r="AY194" s="193"/>
      <c r="AZ194" s="193"/>
      <c r="BA194" s="193"/>
      <c r="BB194" s="193"/>
    </row>
    <row r="195" spans="1:55" s="213" customFormat="1" ht="24" customHeight="1">
      <c r="A195" s="197"/>
      <c r="B195" s="198"/>
      <c r="C195" s="194"/>
      <c r="D195" s="193"/>
      <c r="E195" s="194"/>
      <c r="F195" s="240"/>
      <c r="G195" s="194"/>
      <c r="H195" s="217"/>
      <c r="I195" s="217"/>
      <c r="J195" s="313"/>
      <c r="K195" s="313"/>
      <c r="L195" s="194"/>
      <c r="M195" s="194"/>
      <c r="N195" s="194"/>
      <c r="O195" s="315"/>
      <c r="P195" s="203"/>
      <c r="Q195" s="203"/>
      <c r="R195" s="204"/>
      <c r="S195" s="203"/>
      <c r="T195" s="204"/>
      <c r="U195" s="204"/>
      <c r="V195" s="197"/>
      <c r="W195" s="205"/>
      <c r="X195" s="240"/>
      <c r="Y195" s="220"/>
      <c r="Z195" s="207"/>
      <c r="AA195" s="208"/>
      <c r="AB195" s="206"/>
      <c r="AC195" s="207"/>
      <c r="AD195" s="206"/>
      <c r="AE195" s="209"/>
      <c r="AF195" s="197"/>
      <c r="AG195" s="197"/>
      <c r="AH195" s="202"/>
      <c r="AI195" s="210"/>
      <c r="AJ195" s="197"/>
      <c r="AK195" s="211"/>
      <c r="AL195" s="210"/>
      <c r="AM195" s="197"/>
      <c r="AN195" s="202"/>
      <c r="AO195" s="202"/>
      <c r="AP195" s="202"/>
      <c r="AQ195" s="193"/>
      <c r="AR195" s="193"/>
      <c r="AS195" s="193"/>
      <c r="AT195" s="193"/>
      <c r="AU195" s="193"/>
      <c r="AV195" s="193"/>
      <c r="AW195" s="193"/>
      <c r="AX195" s="193"/>
      <c r="AY195" s="193"/>
      <c r="AZ195" s="193"/>
      <c r="BA195" s="193"/>
      <c r="BB195" s="193"/>
    </row>
    <row r="196" spans="1:55" s="213" customFormat="1" ht="24" customHeight="1">
      <c r="A196" s="197"/>
      <c r="B196" s="198"/>
      <c r="C196" s="194"/>
      <c r="D196" s="193"/>
      <c r="E196" s="194"/>
      <c r="F196" s="240"/>
      <c r="G196" s="194"/>
      <c r="H196" s="217"/>
      <c r="I196" s="217"/>
      <c r="J196" s="197"/>
      <c r="K196" s="197"/>
      <c r="L196" s="194"/>
      <c r="M196" s="194"/>
      <c r="N196" s="194"/>
      <c r="O196" s="315"/>
      <c r="P196" s="203"/>
      <c r="Q196" s="203"/>
      <c r="R196" s="204"/>
      <c r="S196" s="203"/>
      <c r="T196" s="204"/>
      <c r="U196" s="204"/>
      <c r="V196" s="197"/>
      <c r="W196" s="205"/>
      <c r="X196" s="240"/>
      <c r="Y196" s="220"/>
      <c r="Z196" s="207"/>
      <c r="AA196" s="208"/>
      <c r="AB196" s="206"/>
      <c r="AC196" s="207"/>
      <c r="AD196" s="206"/>
      <c r="AE196" s="209"/>
      <c r="AF196" s="197"/>
      <c r="AG196" s="197"/>
      <c r="AH196" s="202"/>
      <c r="AI196" s="210"/>
      <c r="AJ196" s="197"/>
      <c r="AK196" s="211"/>
      <c r="AL196" s="210"/>
      <c r="AM196" s="197"/>
      <c r="AN196" s="202"/>
      <c r="AO196" s="202"/>
      <c r="AP196" s="202"/>
      <c r="AQ196" s="193"/>
      <c r="AR196" s="193"/>
      <c r="AS196" s="193"/>
      <c r="AT196" s="193"/>
      <c r="AU196" s="193"/>
      <c r="AV196" s="193"/>
      <c r="AW196" s="193"/>
      <c r="AX196" s="193"/>
      <c r="AY196" s="193"/>
      <c r="AZ196" s="193"/>
      <c r="BA196" s="193"/>
      <c r="BB196" s="193"/>
    </row>
    <row r="197" spans="1:55" s="213" customFormat="1" ht="24" customHeight="1">
      <c r="A197" s="197"/>
      <c r="B197" s="198"/>
      <c r="C197" s="194"/>
      <c r="D197" s="193"/>
      <c r="E197" s="194"/>
      <c r="F197" s="199"/>
      <c r="G197" s="194"/>
      <c r="H197" s="217"/>
      <c r="I197" s="215"/>
      <c r="J197" s="197"/>
      <c r="K197" s="197"/>
      <c r="L197" s="194"/>
      <c r="M197" s="199"/>
      <c r="N197" s="194"/>
      <c r="O197" s="315"/>
      <c r="P197" s="203"/>
      <c r="Q197" s="204"/>
      <c r="R197" s="204"/>
      <c r="S197" s="203"/>
      <c r="T197" s="204"/>
      <c r="U197" s="204"/>
      <c r="V197" s="194"/>
      <c r="W197" s="205"/>
      <c r="X197" s="192"/>
      <c r="Y197" s="206"/>
      <c r="Z197" s="207"/>
      <c r="AA197" s="208"/>
      <c r="AB197" s="206"/>
      <c r="AC197" s="207"/>
      <c r="AD197" s="206"/>
      <c r="AE197" s="209"/>
      <c r="AF197" s="197"/>
      <c r="AG197" s="197"/>
      <c r="AH197" s="222"/>
      <c r="AI197" s="210"/>
      <c r="AJ197" s="197"/>
      <c r="AK197" s="211"/>
      <c r="AL197" s="210"/>
      <c r="AM197" s="197"/>
      <c r="AN197" s="202"/>
      <c r="AO197" s="195"/>
      <c r="AP197" s="195"/>
      <c r="AQ197" s="193"/>
      <c r="AR197" s="193"/>
      <c r="AS197" s="193"/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372"/>
    </row>
    <row r="198" spans="1:55" s="213" customFormat="1" ht="24" customHeight="1">
      <c r="A198" s="197"/>
      <c r="B198" s="198"/>
      <c r="C198" s="194"/>
      <c r="D198" s="193"/>
      <c r="E198" s="194"/>
      <c r="F198" s="199"/>
      <c r="G198" s="194"/>
      <c r="H198" s="217"/>
      <c r="I198" s="215"/>
      <c r="J198" s="197"/>
      <c r="K198" s="197"/>
      <c r="L198" s="194"/>
      <c r="M198" s="199"/>
      <c r="N198" s="194"/>
      <c r="O198" s="193"/>
      <c r="P198" s="203"/>
      <c r="Q198" s="204"/>
      <c r="R198" s="204"/>
      <c r="S198" s="203"/>
      <c r="T198" s="204"/>
      <c r="U198" s="204"/>
      <c r="V198" s="194"/>
      <c r="W198" s="205"/>
      <c r="X198" s="192"/>
      <c r="Y198" s="206"/>
      <c r="Z198" s="207"/>
      <c r="AA198" s="208"/>
      <c r="AB198" s="206"/>
      <c r="AC198" s="207"/>
      <c r="AD198" s="206"/>
      <c r="AE198" s="209"/>
      <c r="AF198" s="197"/>
      <c r="AG198" s="197"/>
      <c r="AH198" s="222"/>
      <c r="AI198" s="210"/>
      <c r="AJ198" s="197"/>
      <c r="AK198" s="211"/>
      <c r="AL198" s="210"/>
      <c r="AM198" s="197"/>
      <c r="AN198" s="202"/>
      <c r="AO198" s="195"/>
      <c r="AP198" s="195"/>
      <c r="AQ198" s="193"/>
      <c r="AR198" s="193"/>
      <c r="AS198" s="193"/>
      <c r="AT198" s="193"/>
      <c r="AU198" s="193"/>
      <c r="AV198" s="193"/>
      <c r="AW198" s="193"/>
      <c r="AX198" s="193"/>
      <c r="AY198" s="193"/>
      <c r="AZ198" s="193"/>
      <c r="BA198" s="193"/>
      <c r="BB198" s="193"/>
      <c r="BC198" s="372"/>
    </row>
    <row r="199" spans="1:55" s="213" customFormat="1" ht="24" customHeight="1">
      <c r="A199" s="197"/>
      <c r="B199" s="198"/>
      <c r="C199" s="194"/>
      <c r="D199" s="193"/>
      <c r="E199" s="194"/>
      <c r="F199" s="199"/>
      <c r="G199" s="194"/>
      <c r="H199" s="217"/>
      <c r="I199" s="215"/>
      <c r="J199" s="197"/>
      <c r="K199" s="197"/>
      <c r="L199" s="194"/>
      <c r="M199" s="199"/>
      <c r="N199" s="194"/>
      <c r="O199" s="193"/>
      <c r="P199" s="203"/>
      <c r="Q199" s="204"/>
      <c r="R199" s="204"/>
      <c r="S199" s="203"/>
      <c r="T199" s="204"/>
      <c r="U199" s="204"/>
      <c r="V199" s="194"/>
      <c r="W199" s="205"/>
      <c r="X199" s="192"/>
      <c r="Y199" s="206"/>
      <c r="Z199" s="207"/>
      <c r="AA199" s="208"/>
      <c r="AB199" s="206"/>
      <c r="AC199" s="207"/>
      <c r="AD199" s="206"/>
      <c r="AE199" s="209"/>
      <c r="AF199" s="197"/>
      <c r="AG199" s="197"/>
      <c r="AH199" s="222"/>
      <c r="AI199" s="210"/>
      <c r="AJ199" s="197"/>
      <c r="AK199" s="211"/>
      <c r="AL199" s="210"/>
      <c r="AM199" s="197"/>
      <c r="AN199" s="202"/>
      <c r="AO199" s="195"/>
      <c r="AP199" s="195"/>
      <c r="AQ199" s="193"/>
      <c r="AR199" s="193"/>
      <c r="AS199" s="193"/>
      <c r="AT199" s="193"/>
      <c r="AU199" s="193"/>
      <c r="AV199" s="193"/>
      <c r="AW199" s="193"/>
      <c r="AX199" s="193"/>
      <c r="AY199" s="193"/>
      <c r="AZ199" s="193"/>
      <c r="BA199" s="193"/>
      <c r="BB199" s="193"/>
      <c r="BC199" s="372"/>
    </row>
    <row r="200" spans="1:55" s="213" customFormat="1" ht="24" customHeight="1">
      <c r="A200" s="197"/>
      <c r="B200" s="198"/>
      <c r="C200" s="194"/>
      <c r="D200" s="193"/>
      <c r="E200" s="194"/>
      <c r="F200" s="199"/>
      <c r="G200" s="194"/>
      <c r="H200" s="217"/>
      <c r="I200" s="215"/>
      <c r="J200" s="197"/>
      <c r="K200" s="197"/>
      <c r="L200" s="194"/>
      <c r="M200" s="199"/>
      <c r="N200" s="194"/>
      <c r="O200" s="193"/>
      <c r="P200" s="203"/>
      <c r="Q200" s="204"/>
      <c r="R200" s="204"/>
      <c r="S200" s="203"/>
      <c r="T200" s="204"/>
      <c r="U200" s="204"/>
      <c r="V200" s="194"/>
      <c r="W200" s="205"/>
      <c r="X200" s="192"/>
      <c r="Y200" s="206"/>
      <c r="Z200" s="207"/>
      <c r="AA200" s="208"/>
      <c r="AB200" s="206"/>
      <c r="AC200" s="207"/>
      <c r="AD200" s="206"/>
      <c r="AE200" s="209"/>
      <c r="AF200" s="197"/>
      <c r="AG200" s="197"/>
      <c r="AH200" s="222"/>
      <c r="AI200" s="210"/>
      <c r="AJ200" s="197"/>
      <c r="AK200" s="211"/>
      <c r="AL200" s="210"/>
      <c r="AM200" s="197"/>
      <c r="AN200" s="202"/>
      <c r="AO200" s="195"/>
      <c r="AP200" s="195"/>
      <c r="AQ200" s="193"/>
      <c r="AR200" s="193"/>
      <c r="AS200" s="193"/>
      <c r="AT200" s="193"/>
      <c r="AU200" s="193"/>
      <c r="AV200" s="193"/>
      <c r="AW200" s="193"/>
      <c r="AX200" s="193"/>
      <c r="AY200" s="193"/>
      <c r="AZ200" s="193"/>
      <c r="BA200" s="193"/>
      <c r="BB200" s="193"/>
      <c r="BC200" s="372"/>
    </row>
    <row r="201" spans="1:55" s="213" customFormat="1" ht="24" customHeight="1">
      <c r="A201" s="197"/>
      <c r="B201" s="198"/>
      <c r="C201" s="194"/>
      <c r="D201" s="193"/>
      <c r="E201" s="194"/>
      <c r="F201" s="199"/>
      <c r="G201" s="194"/>
      <c r="H201" s="217"/>
      <c r="I201" s="215"/>
      <c r="J201" s="197"/>
      <c r="K201" s="197"/>
      <c r="L201" s="194"/>
      <c r="M201" s="199"/>
      <c r="N201" s="202"/>
      <c r="O201" s="193"/>
      <c r="P201" s="203"/>
      <c r="Q201" s="204"/>
      <c r="R201" s="204"/>
      <c r="S201" s="203"/>
      <c r="T201" s="204"/>
      <c r="U201" s="204"/>
      <c r="V201" s="194"/>
      <c r="W201" s="205"/>
      <c r="X201" s="192"/>
      <c r="Y201" s="206"/>
      <c r="Z201" s="207"/>
      <c r="AA201" s="208"/>
      <c r="AB201" s="206"/>
      <c r="AC201" s="207"/>
      <c r="AD201" s="206"/>
      <c r="AE201" s="209"/>
      <c r="AF201" s="197"/>
      <c r="AG201" s="197"/>
      <c r="AH201" s="222"/>
      <c r="AI201" s="210"/>
      <c r="AJ201" s="197"/>
      <c r="AK201" s="211"/>
      <c r="AL201" s="210"/>
      <c r="AM201" s="197"/>
      <c r="AN201" s="202"/>
      <c r="AO201" s="195"/>
      <c r="AP201" s="195"/>
      <c r="AQ201" s="193"/>
      <c r="AR201" s="193"/>
      <c r="AS201" s="193"/>
      <c r="AT201" s="193"/>
      <c r="AU201" s="193"/>
      <c r="AV201" s="193"/>
      <c r="AW201" s="193"/>
      <c r="AX201" s="193"/>
      <c r="AY201" s="193"/>
      <c r="AZ201" s="193"/>
      <c r="BA201" s="193"/>
      <c r="BB201" s="193"/>
      <c r="BC201" s="372"/>
    </row>
    <row r="202" spans="1:55" s="213" customFormat="1" ht="24" customHeight="1">
      <c r="A202" s="197"/>
      <c r="B202" s="198"/>
      <c r="C202" s="194"/>
      <c r="D202" s="193"/>
      <c r="E202" s="194"/>
      <c r="F202" s="199"/>
      <c r="G202" s="194"/>
      <c r="H202" s="217"/>
      <c r="I202" s="215"/>
      <c r="J202" s="197"/>
      <c r="K202" s="197"/>
      <c r="L202" s="194"/>
      <c r="M202" s="199"/>
      <c r="N202" s="202"/>
      <c r="O202" s="193"/>
      <c r="P202" s="203"/>
      <c r="Q202" s="204"/>
      <c r="R202" s="204"/>
      <c r="S202" s="203"/>
      <c r="T202" s="204"/>
      <c r="U202" s="204"/>
      <c r="V202" s="194"/>
      <c r="W202" s="205"/>
      <c r="X202" s="192"/>
      <c r="Y202" s="206"/>
      <c r="Z202" s="207"/>
      <c r="AA202" s="208"/>
      <c r="AB202" s="206"/>
      <c r="AC202" s="207"/>
      <c r="AD202" s="206"/>
      <c r="AE202" s="209"/>
      <c r="AF202" s="197"/>
      <c r="AG202" s="197"/>
      <c r="AH202" s="222"/>
      <c r="AI202" s="210"/>
      <c r="AJ202" s="197"/>
      <c r="AK202" s="211"/>
      <c r="AL202" s="210"/>
      <c r="AM202" s="197"/>
      <c r="AN202" s="202"/>
      <c r="AO202" s="195"/>
      <c r="AP202" s="195"/>
      <c r="AQ202" s="193"/>
      <c r="AR202" s="193"/>
      <c r="AS202" s="193"/>
      <c r="AT202" s="193"/>
      <c r="AU202" s="193"/>
      <c r="AV202" s="193"/>
      <c r="AW202" s="193"/>
      <c r="AX202" s="193"/>
      <c r="AY202" s="193"/>
      <c r="AZ202" s="193"/>
      <c r="BA202" s="193"/>
      <c r="BB202" s="193"/>
      <c r="BC202" s="372"/>
    </row>
    <row r="203" spans="1:55" s="213" customFormat="1" ht="24" customHeight="1">
      <c r="A203" s="197"/>
      <c r="B203" s="198"/>
      <c r="C203" s="194"/>
      <c r="D203" s="193"/>
      <c r="E203" s="194"/>
      <c r="F203" s="199"/>
      <c r="G203" s="194"/>
      <c r="H203" s="217"/>
      <c r="I203" s="215"/>
      <c r="J203" s="197"/>
      <c r="K203" s="197"/>
      <c r="L203" s="194"/>
      <c r="M203" s="199"/>
      <c r="N203" s="202"/>
      <c r="O203" s="193"/>
      <c r="P203" s="203"/>
      <c r="Q203" s="204"/>
      <c r="R203" s="204"/>
      <c r="S203" s="203"/>
      <c r="T203" s="204"/>
      <c r="U203" s="204"/>
      <c r="V203" s="194"/>
      <c r="W203" s="205"/>
      <c r="X203" s="192"/>
      <c r="Y203" s="206"/>
      <c r="Z203" s="207"/>
      <c r="AA203" s="208"/>
      <c r="AB203" s="206"/>
      <c r="AC203" s="207"/>
      <c r="AD203" s="206"/>
      <c r="AE203" s="209"/>
      <c r="AF203" s="197"/>
      <c r="AG203" s="197"/>
      <c r="AH203" s="222"/>
      <c r="AI203" s="210"/>
      <c r="AJ203" s="197"/>
      <c r="AK203" s="211"/>
      <c r="AL203" s="210"/>
      <c r="AM203" s="197"/>
      <c r="AN203" s="202"/>
      <c r="AO203" s="195"/>
      <c r="AP203" s="195"/>
      <c r="AQ203" s="193"/>
      <c r="AR203" s="193"/>
      <c r="AS203" s="193"/>
      <c r="AT203" s="193"/>
      <c r="AU203" s="193"/>
      <c r="AV203" s="193"/>
      <c r="AW203" s="193"/>
      <c r="AX203" s="193"/>
      <c r="AY203" s="193"/>
      <c r="AZ203" s="193"/>
      <c r="BA203" s="193"/>
      <c r="BB203" s="193"/>
      <c r="BC203" s="372"/>
    </row>
    <row r="204" spans="1:55" s="213" customFormat="1" ht="24" customHeight="1">
      <c r="A204" s="197"/>
      <c r="B204" s="198"/>
      <c r="C204" s="194"/>
      <c r="D204" s="193"/>
      <c r="E204" s="194"/>
      <c r="F204" s="199"/>
      <c r="G204" s="194"/>
      <c r="H204" s="217"/>
      <c r="I204" s="215"/>
      <c r="J204" s="197"/>
      <c r="K204" s="197"/>
      <c r="L204" s="194"/>
      <c r="M204" s="199"/>
      <c r="N204" s="194"/>
      <c r="O204" s="193"/>
      <c r="P204" s="203"/>
      <c r="Q204" s="204"/>
      <c r="R204" s="204"/>
      <c r="S204" s="203"/>
      <c r="T204" s="204"/>
      <c r="U204" s="204"/>
      <c r="V204" s="194"/>
      <c r="W204" s="205"/>
      <c r="X204" s="192"/>
      <c r="Y204" s="206"/>
      <c r="Z204" s="207"/>
      <c r="AA204" s="208"/>
      <c r="AB204" s="206"/>
      <c r="AC204" s="207"/>
      <c r="AD204" s="206"/>
      <c r="AE204" s="209"/>
      <c r="AF204" s="197"/>
      <c r="AG204" s="197"/>
      <c r="AH204" s="222"/>
      <c r="AI204" s="210"/>
      <c r="AJ204" s="197"/>
      <c r="AK204" s="211"/>
      <c r="AL204" s="210"/>
      <c r="AM204" s="197"/>
      <c r="AN204" s="202"/>
      <c r="AO204" s="195"/>
      <c r="AP204" s="195"/>
      <c r="AQ204" s="193"/>
      <c r="AR204" s="193"/>
      <c r="AS204" s="193"/>
      <c r="AT204" s="193"/>
      <c r="AU204" s="193"/>
      <c r="AV204" s="193"/>
      <c r="AW204" s="193"/>
      <c r="AX204" s="193"/>
      <c r="AY204" s="193"/>
      <c r="AZ204" s="193"/>
      <c r="BA204" s="193"/>
      <c r="BB204" s="193"/>
      <c r="BC204" s="372"/>
    </row>
    <row r="205" spans="1:55" s="213" customFormat="1" ht="24" customHeight="1">
      <c r="A205" s="197"/>
      <c r="B205" s="198"/>
      <c r="C205" s="194"/>
      <c r="D205" s="193"/>
      <c r="E205" s="194"/>
      <c r="F205" s="199"/>
      <c r="G205" s="194"/>
      <c r="H205" s="217"/>
      <c r="I205" s="215"/>
      <c r="J205" s="197"/>
      <c r="K205" s="197"/>
      <c r="L205" s="194"/>
      <c r="M205" s="199"/>
      <c r="N205" s="194"/>
      <c r="O205" s="193"/>
      <c r="P205" s="203"/>
      <c r="Q205" s="204"/>
      <c r="R205" s="204"/>
      <c r="S205" s="203"/>
      <c r="T205" s="204"/>
      <c r="U205" s="204"/>
      <c r="V205" s="194"/>
      <c r="W205" s="205"/>
      <c r="X205" s="192"/>
      <c r="Y205" s="206"/>
      <c r="Z205" s="207"/>
      <c r="AA205" s="208"/>
      <c r="AB205" s="206"/>
      <c r="AC205" s="207"/>
      <c r="AD205" s="206"/>
      <c r="AE205" s="209"/>
      <c r="AF205" s="197"/>
      <c r="AG205" s="197"/>
      <c r="AH205" s="222"/>
      <c r="AI205" s="210"/>
      <c r="AJ205" s="197"/>
      <c r="AK205" s="211"/>
      <c r="AL205" s="210"/>
      <c r="AM205" s="197"/>
      <c r="AN205" s="202"/>
      <c r="AO205" s="195"/>
      <c r="AP205" s="195"/>
      <c r="AQ205" s="193"/>
      <c r="AR205" s="193"/>
      <c r="AS205" s="193"/>
      <c r="AT205" s="193"/>
      <c r="AU205" s="193"/>
      <c r="AV205" s="193"/>
      <c r="AW205" s="193"/>
      <c r="AX205" s="193"/>
      <c r="AY205" s="193"/>
      <c r="AZ205" s="193"/>
      <c r="BA205" s="193"/>
      <c r="BB205" s="193"/>
      <c r="BC205" s="372"/>
    </row>
    <row r="206" spans="1:55" s="213" customFormat="1" ht="24" customHeight="1">
      <c r="A206" s="197"/>
      <c r="B206" s="198"/>
      <c r="C206" s="194"/>
      <c r="D206" s="193"/>
      <c r="E206" s="194"/>
      <c r="F206" s="199"/>
      <c r="G206" s="194"/>
      <c r="H206" s="217"/>
      <c r="I206" s="215"/>
      <c r="J206" s="197"/>
      <c r="K206" s="197"/>
      <c r="L206" s="194"/>
      <c r="M206" s="199"/>
      <c r="N206" s="194"/>
      <c r="O206" s="193"/>
      <c r="P206" s="203"/>
      <c r="Q206" s="204"/>
      <c r="R206" s="204"/>
      <c r="S206" s="203"/>
      <c r="T206" s="204"/>
      <c r="U206" s="204"/>
      <c r="V206" s="194"/>
      <c r="W206" s="205"/>
      <c r="X206" s="192"/>
      <c r="Y206" s="206"/>
      <c r="Z206" s="207"/>
      <c r="AA206" s="208"/>
      <c r="AB206" s="206"/>
      <c r="AC206" s="207"/>
      <c r="AD206" s="206"/>
      <c r="AE206" s="209"/>
      <c r="AF206" s="197"/>
      <c r="AG206" s="197"/>
      <c r="AH206" s="222"/>
      <c r="AI206" s="210"/>
      <c r="AJ206" s="197"/>
      <c r="AK206" s="211"/>
      <c r="AL206" s="210"/>
      <c r="AM206" s="197"/>
      <c r="AN206" s="202"/>
      <c r="AO206" s="195"/>
      <c r="AP206" s="195"/>
      <c r="AQ206" s="193"/>
      <c r="AR206" s="193"/>
      <c r="AS206" s="193"/>
      <c r="AT206" s="193"/>
      <c r="AU206" s="193"/>
      <c r="AV206" s="193"/>
      <c r="AW206" s="193"/>
      <c r="AX206" s="193"/>
      <c r="AY206" s="193"/>
      <c r="AZ206" s="193"/>
      <c r="BA206" s="193"/>
      <c r="BB206" s="193"/>
      <c r="BC206" s="372"/>
    </row>
    <row r="207" spans="1:55" s="213" customFormat="1" ht="24" customHeight="1">
      <c r="A207" s="197"/>
      <c r="B207" s="198"/>
      <c r="C207" s="194"/>
      <c r="D207" s="193"/>
      <c r="E207" s="194"/>
      <c r="F207" s="199"/>
      <c r="G207" s="194"/>
      <c r="H207" s="217"/>
      <c r="I207" s="215"/>
      <c r="J207" s="197"/>
      <c r="K207" s="197"/>
      <c r="L207" s="194"/>
      <c r="M207" s="199"/>
      <c r="N207" s="194"/>
      <c r="O207" s="193"/>
      <c r="P207" s="203"/>
      <c r="Q207" s="204"/>
      <c r="R207" s="204"/>
      <c r="S207" s="203"/>
      <c r="T207" s="204"/>
      <c r="U207" s="204"/>
      <c r="V207" s="194"/>
      <c r="W207" s="205"/>
      <c r="X207" s="192"/>
      <c r="Y207" s="206"/>
      <c r="Z207" s="207"/>
      <c r="AA207" s="208"/>
      <c r="AB207" s="206"/>
      <c r="AC207" s="207"/>
      <c r="AD207" s="206"/>
      <c r="AE207" s="209"/>
      <c r="AF207" s="197"/>
      <c r="AG207" s="197"/>
      <c r="AH207" s="222"/>
      <c r="AI207" s="210"/>
      <c r="AJ207" s="197"/>
      <c r="AK207" s="211"/>
      <c r="AL207" s="210"/>
      <c r="AM207" s="197"/>
      <c r="AN207" s="202"/>
      <c r="AO207" s="195"/>
      <c r="AP207" s="195"/>
      <c r="AQ207" s="193"/>
      <c r="AR207" s="193"/>
      <c r="AS207" s="193"/>
      <c r="AT207" s="193"/>
      <c r="AU207" s="193"/>
      <c r="AV207" s="193"/>
      <c r="AW207" s="193"/>
      <c r="AX207" s="193"/>
      <c r="AY207" s="193"/>
      <c r="AZ207" s="193"/>
      <c r="BA207" s="193"/>
      <c r="BB207" s="193"/>
      <c r="BC207" s="372"/>
    </row>
    <row r="208" spans="1:55" s="213" customFormat="1" ht="24" customHeight="1">
      <c r="A208" s="197"/>
      <c r="B208" s="198"/>
      <c r="C208" s="194"/>
      <c r="D208" s="193"/>
      <c r="E208" s="194"/>
      <c r="F208" s="199"/>
      <c r="G208" s="194"/>
      <c r="H208" s="217"/>
      <c r="I208" s="215"/>
      <c r="J208" s="197"/>
      <c r="K208" s="197"/>
      <c r="L208" s="194"/>
      <c r="M208" s="199"/>
      <c r="N208" s="194"/>
      <c r="O208" s="193"/>
      <c r="P208" s="203"/>
      <c r="Q208" s="204"/>
      <c r="R208" s="204"/>
      <c r="S208" s="203"/>
      <c r="T208" s="204"/>
      <c r="U208" s="204"/>
      <c r="V208" s="194"/>
      <c r="W208" s="205"/>
      <c r="X208" s="192"/>
      <c r="Y208" s="206"/>
      <c r="Z208" s="207"/>
      <c r="AA208" s="208"/>
      <c r="AB208" s="206"/>
      <c r="AC208" s="207"/>
      <c r="AD208" s="206"/>
      <c r="AE208" s="209"/>
      <c r="AF208" s="197"/>
      <c r="AG208" s="197"/>
      <c r="AH208" s="222"/>
      <c r="AI208" s="210"/>
      <c r="AJ208" s="197"/>
      <c r="AK208" s="211"/>
      <c r="AL208" s="210"/>
      <c r="AM208" s="197"/>
      <c r="AN208" s="202"/>
      <c r="AO208" s="195"/>
      <c r="AP208" s="195"/>
      <c r="AQ208" s="193"/>
      <c r="AR208" s="193"/>
      <c r="AS208" s="193"/>
      <c r="AT208" s="193"/>
      <c r="AU208" s="193"/>
      <c r="AV208" s="193"/>
      <c r="AW208" s="193"/>
      <c r="AX208" s="193"/>
      <c r="AY208" s="193"/>
      <c r="AZ208" s="193"/>
      <c r="BA208" s="193"/>
      <c r="BB208" s="193"/>
      <c r="BC208" s="372"/>
    </row>
    <row r="209" spans="1:56" s="213" customFormat="1" ht="24" customHeight="1">
      <c r="A209" s="197"/>
      <c r="B209" s="198"/>
      <c r="C209" s="194"/>
      <c r="D209" s="193"/>
      <c r="E209" s="194"/>
      <c r="F209" s="199"/>
      <c r="G209" s="194"/>
      <c r="H209" s="217"/>
      <c r="I209" s="215"/>
      <c r="J209" s="197"/>
      <c r="K209" s="197"/>
      <c r="L209" s="194"/>
      <c r="M209" s="194"/>
      <c r="N209" s="194"/>
      <c r="O209" s="193"/>
      <c r="P209" s="203"/>
      <c r="Q209" s="204"/>
      <c r="R209" s="204"/>
      <c r="S209" s="203"/>
      <c r="T209" s="204"/>
      <c r="U209" s="204"/>
      <c r="V209" s="194"/>
      <c r="W209" s="205"/>
      <c r="X209" s="192"/>
      <c r="Y209" s="206"/>
      <c r="Z209" s="207"/>
      <c r="AA209" s="208"/>
      <c r="AB209" s="206"/>
      <c r="AC209" s="207"/>
      <c r="AD209" s="206"/>
      <c r="AE209" s="209"/>
      <c r="AF209" s="197"/>
      <c r="AG209" s="197"/>
      <c r="AH209" s="222"/>
      <c r="AI209" s="210"/>
      <c r="AJ209" s="197"/>
      <c r="AK209" s="211"/>
      <c r="AL209" s="210"/>
      <c r="AM209" s="197"/>
      <c r="AN209" s="202"/>
      <c r="AO209" s="195"/>
      <c r="AP209" s="195"/>
      <c r="AQ209" s="193"/>
      <c r="AR209" s="193"/>
      <c r="AS209" s="193"/>
      <c r="AT209" s="193"/>
      <c r="AU209" s="193"/>
      <c r="AV209" s="193"/>
      <c r="AW209" s="193"/>
      <c r="AX209" s="193"/>
      <c r="AY209" s="193"/>
      <c r="AZ209" s="193"/>
      <c r="BA209" s="193"/>
      <c r="BB209" s="193"/>
      <c r="BC209" s="372"/>
    </row>
    <row r="210" spans="1:56" s="213" customFormat="1" ht="24" customHeight="1">
      <c r="A210" s="197"/>
      <c r="B210" s="198"/>
      <c r="C210" s="194"/>
      <c r="D210" s="193"/>
      <c r="E210" s="194"/>
      <c r="F210" s="199"/>
      <c r="G210" s="194"/>
      <c r="H210" s="217"/>
      <c r="I210" s="215"/>
      <c r="J210" s="197"/>
      <c r="K210" s="197"/>
      <c r="L210" s="194"/>
      <c r="M210" s="194"/>
      <c r="N210" s="194"/>
      <c r="O210" s="193"/>
      <c r="P210" s="203"/>
      <c r="Q210" s="204"/>
      <c r="R210" s="204"/>
      <c r="S210" s="203"/>
      <c r="T210" s="204"/>
      <c r="U210" s="204"/>
      <c r="V210" s="194"/>
      <c r="W210" s="205"/>
      <c r="X210" s="192"/>
      <c r="Y210" s="206"/>
      <c r="Z210" s="207"/>
      <c r="AA210" s="208"/>
      <c r="AB210" s="206"/>
      <c r="AC210" s="207"/>
      <c r="AD210" s="206"/>
      <c r="AE210" s="209"/>
      <c r="AF210" s="197"/>
      <c r="AG210" s="197"/>
      <c r="AH210" s="222"/>
      <c r="AI210" s="210"/>
      <c r="AJ210" s="197"/>
      <c r="AK210" s="211"/>
      <c r="AL210" s="210"/>
      <c r="AM210" s="197"/>
      <c r="AN210" s="202"/>
      <c r="AO210" s="195"/>
      <c r="AP210" s="195"/>
      <c r="AQ210" s="193"/>
      <c r="AR210" s="193"/>
      <c r="AS210" s="193"/>
      <c r="AT210" s="193"/>
      <c r="AU210" s="193"/>
      <c r="AV210" s="193"/>
      <c r="AW210" s="193"/>
      <c r="AX210" s="193"/>
      <c r="AY210" s="193"/>
      <c r="AZ210" s="193"/>
      <c r="BA210" s="193"/>
      <c r="BB210" s="193"/>
      <c r="BC210" s="372"/>
    </row>
    <row r="211" spans="1:56" s="213" customFormat="1" ht="24" customHeight="1">
      <c r="A211" s="197"/>
      <c r="B211" s="198"/>
      <c r="C211" s="194"/>
      <c r="D211" s="193"/>
      <c r="E211" s="194"/>
      <c r="F211" s="199"/>
      <c r="G211" s="194"/>
      <c r="H211" s="217"/>
      <c r="I211" s="215"/>
      <c r="J211" s="197"/>
      <c r="K211" s="197"/>
      <c r="L211" s="194"/>
      <c r="M211" s="194"/>
      <c r="N211" s="202"/>
      <c r="O211" s="193"/>
      <c r="P211" s="203"/>
      <c r="Q211" s="204"/>
      <c r="R211" s="204"/>
      <c r="S211" s="203"/>
      <c r="T211" s="204"/>
      <c r="U211" s="204"/>
      <c r="V211" s="194"/>
      <c r="W211" s="205"/>
      <c r="X211" s="192"/>
      <c r="Y211" s="206"/>
      <c r="Z211" s="207"/>
      <c r="AA211" s="208"/>
      <c r="AB211" s="206"/>
      <c r="AC211" s="207"/>
      <c r="AD211" s="206"/>
      <c r="AE211" s="209"/>
      <c r="AF211" s="197"/>
      <c r="AG211" s="197"/>
      <c r="AH211" s="222"/>
      <c r="AI211" s="210"/>
      <c r="AJ211" s="197"/>
      <c r="AK211" s="211"/>
      <c r="AL211" s="210"/>
      <c r="AM211" s="197"/>
      <c r="AN211" s="202"/>
      <c r="AO211" s="195"/>
      <c r="AP211" s="195"/>
      <c r="AQ211" s="242"/>
      <c r="AR211" s="242"/>
      <c r="AS211" s="242"/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372"/>
      <c r="BD211" s="243"/>
    </row>
    <row r="212" spans="1:56" s="213" customFormat="1" ht="24" customHeight="1">
      <c r="A212" s="197"/>
      <c r="B212" s="198"/>
      <c r="C212" s="194"/>
      <c r="D212" s="193"/>
      <c r="E212" s="194"/>
      <c r="F212" s="199"/>
      <c r="G212" s="194"/>
      <c r="H212" s="217"/>
      <c r="I212" s="215"/>
      <c r="J212" s="197"/>
      <c r="K212" s="197"/>
      <c r="L212" s="201"/>
      <c r="M212" s="230"/>
      <c r="N212" s="202"/>
      <c r="O212" s="193"/>
      <c r="P212" s="203"/>
      <c r="Q212" s="204"/>
      <c r="R212" s="204"/>
      <c r="S212" s="203"/>
      <c r="T212" s="204"/>
      <c r="U212" s="204"/>
      <c r="V212" s="197"/>
      <c r="W212" s="205"/>
      <c r="X212" s="192"/>
      <c r="Y212" s="206"/>
      <c r="Z212" s="207"/>
      <c r="AA212" s="208"/>
      <c r="AB212" s="206"/>
      <c r="AC212" s="207"/>
      <c r="AD212" s="206"/>
      <c r="AE212" s="209"/>
      <c r="AF212" s="197"/>
      <c r="AG212" s="197"/>
      <c r="AH212" s="222"/>
      <c r="AI212" s="210"/>
      <c r="AJ212" s="197"/>
      <c r="AK212" s="211"/>
      <c r="AL212" s="210"/>
      <c r="AM212" s="197"/>
      <c r="AN212" s="202"/>
      <c r="AO212" s="195"/>
      <c r="AP212" s="195"/>
      <c r="AQ212" s="242"/>
      <c r="AR212" s="242"/>
      <c r="AS212" s="242"/>
      <c r="AT212" s="242"/>
      <c r="AU212" s="242"/>
      <c r="AV212" s="242"/>
      <c r="AW212" s="242"/>
      <c r="AX212" s="242"/>
      <c r="AY212" s="242"/>
      <c r="AZ212" s="242"/>
      <c r="BA212" s="242"/>
      <c r="BB212" s="242"/>
      <c r="BC212" s="372"/>
      <c r="BD212" s="243"/>
    </row>
    <row r="213" spans="1:56" s="213" customFormat="1" ht="24" customHeight="1">
      <c r="A213" s="197"/>
      <c r="B213" s="198"/>
      <c r="C213" s="194"/>
      <c r="D213" s="193"/>
      <c r="E213" s="194"/>
      <c r="F213" s="199"/>
      <c r="G213" s="194"/>
      <c r="H213" s="217"/>
      <c r="I213" s="215"/>
      <c r="J213" s="197"/>
      <c r="K213" s="197"/>
      <c r="L213" s="201"/>
      <c r="M213" s="230"/>
      <c r="N213" s="202"/>
      <c r="O213" s="193"/>
      <c r="P213" s="203">
        <v>0</v>
      </c>
      <c r="Q213" s="204">
        <f t="shared" ref="Q213:Q216" si="50">M213*P213</f>
        <v>0</v>
      </c>
      <c r="R213" s="204" t="s">
        <v>30</v>
      </c>
      <c r="S213" s="203">
        <v>0</v>
      </c>
      <c r="T213" s="204">
        <f t="shared" ref="T213:T216" si="51">M213*S213</f>
        <v>0</v>
      </c>
      <c r="U213" s="204">
        <f t="shared" ref="U213:U216" si="52">P213-S213</f>
        <v>0</v>
      </c>
      <c r="V213" s="197"/>
      <c r="W213" s="205"/>
      <c r="X213" s="192"/>
      <c r="Y213" s="206"/>
      <c r="Z213" s="207"/>
      <c r="AA213" s="208"/>
      <c r="AB213" s="206"/>
      <c r="AC213" s="207"/>
      <c r="AD213" s="206">
        <f t="shared" ref="AD213:AD254" si="53">Y213+7</f>
        <v>7</v>
      </c>
      <c r="AE213" s="209">
        <f t="shared" ref="AE213:AE216" si="54">AC213-AD213</f>
        <v>-7</v>
      </c>
      <c r="AF213" s="197"/>
      <c r="AG213" s="197"/>
      <c r="AH213" s="222">
        <f t="shared" ref="AH213:AH276" si="55">L213-M213</f>
        <v>0</v>
      </c>
      <c r="AI213" s="210" t="e">
        <f>#REF!+5</f>
        <v>#REF!</v>
      </c>
      <c r="AJ213" s="197" t="s">
        <v>46</v>
      </c>
      <c r="AK213" s="211">
        <f t="shared" ref="AK213:AK276" si="56">Y213-I213</f>
        <v>0</v>
      </c>
      <c r="AL213" s="210">
        <f>Y213+90</f>
        <v>90</v>
      </c>
      <c r="AM213" s="197"/>
      <c r="AN213" s="202"/>
      <c r="AO213" s="195"/>
      <c r="AP213" s="195"/>
      <c r="AQ213" s="242"/>
      <c r="AR213" s="242"/>
      <c r="AS213" s="242"/>
      <c r="AT213" s="242"/>
      <c r="AU213" s="242"/>
      <c r="AV213" s="242"/>
      <c r="AW213" s="242"/>
      <c r="AX213" s="242"/>
      <c r="AY213" s="242"/>
      <c r="AZ213" s="242"/>
      <c r="BA213" s="242"/>
      <c r="BB213" s="242"/>
      <c r="BC213" s="372"/>
      <c r="BD213" s="243"/>
    </row>
    <row r="214" spans="1:56" s="213" customFormat="1" ht="24" customHeight="1">
      <c r="A214" s="197"/>
      <c r="B214" s="198"/>
      <c r="C214" s="194"/>
      <c r="D214" s="193"/>
      <c r="E214" s="194"/>
      <c r="F214" s="240"/>
      <c r="G214" s="194"/>
      <c r="H214" s="217"/>
      <c r="I214" s="217"/>
      <c r="J214" s="197"/>
      <c r="K214" s="197"/>
      <c r="L214" s="194"/>
      <c r="M214" s="194"/>
      <c r="N214" s="194"/>
      <c r="O214" s="193"/>
      <c r="P214" s="203">
        <v>0</v>
      </c>
      <c r="Q214" s="203">
        <f t="shared" si="50"/>
        <v>0</v>
      </c>
      <c r="R214" s="204" t="s">
        <v>30</v>
      </c>
      <c r="S214" s="203">
        <v>0</v>
      </c>
      <c r="T214" s="204">
        <f t="shared" si="51"/>
        <v>0</v>
      </c>
      <c r="U214" s="204">
        <f t="shared" si="52"/>
        <v>0</v>
      </c>
      <c r="V214" s="197"/>
      <c r="W214" s="205"/>
      <c r="X214" s="240"/>
      <c r="Y214" s="220"/>
      <c r="Z214" s="207"/>
      <c r="AA214" s="208"/>
      <c r="AB214" s="206"/>
      <c r="AC214" s="207"/>
      <c r="AD214" s="206">
        <f>Y214+7</f>
        <v>7</v>
      </c>
      <c r="AE214" s="209">
        <f t="shared" si="54"/>
        <v>-7</v>
      </c>
      <c r="AF214" s="197"/>
      <c r="AG214" s="197"/>
      <c r="AH214" s="202">
        <f t="shared" si="55"/>
        <v>0</v>
      </c>
      <c r="AI214" s="210" t="e">
        <f>#REF!+5</f>
        <v>#REF!</v>
      </c>
      <c r="AJ214" s="197" t="s">
        <v>46</v>
      </c>
      <c r="AK214" s="211">
        <f t="shared" si="56"/>
        <v>0</v>
      </c>
      <c r="AL214" s="210">
        <f>Y214+90</f>
        <v>90</v>
      </c>
      <c r="AM214" s="197"/>
      <c r="AN214" s="202"/>
      <c r="AO214" s="202"/>
      <c r="AP214" s="202"/>
      <c r="AQ214" s="193"/>
      <c r="AR214" s="193"/>
      <c r="AS214" s="193"/>
      <c r="AT214" s="193"/>
      <c r="AU214" s="193"/>
      <c r="AV214" s="193"/>
      <c r="AW214" s="193"/>
      <c r="AX214" s="193"/>
      <c r="AY214" s="193"/>
      <c r="AZ214" s="193"/>
      <c r="BA214" s="193"/>
      <c r="BB214" s="193"/>
    </row>
    <row r="215" spans="1:56" s="213" customFormat="1" ht="24" customHeight="1">
      <c r="A215" s="197"/>
      <c r="B215" s="198"/>
      <c r="C215" s="194"/>
      <c r="D215" s="193"/>
      <c r="E215" s="194"/>
      <c r="F215" s="240"/>
      <c r="G215" s="194"/>
      <c r="H215" s="217"/>
      <c r="I215" s="217"/>
      <c r="J215" s="197"/>
      <c r="K215" s="197"/>
      <c r="L215" s="194"/>
      <c r="M215" s="194"/>
      <c r="N215" s="194"/>
      <c r="O215" s="193"/>
      <c r="P215" s="203">
        <v>0</v>
      </c>
      <c r="Q215" s="203">
        <f t="shared" si="50"/>
        <v>0</v>
      </c>
      <c r="R215" s="204" t="s">
        <v>30</v>
      </c>
      <c r="S215" s="203">
        <v>0</v>
      </c>
      <c r="T215" s="204">
        <f t="shared" si="51"/>
        <v>0</v>
      </c>
      <c r="U215" s="204">
        <f t="shared" si="52"/>
        <v>0</v>
      </c>
      <c r="V215" s="197"/>
      <c r="W215" s="205"/>
      <c r="X215" s="240"/>
      <c r="Y215" s="220"/>
      <c r="Z215" s="207"/>
      <c r="AA215" s="208"/>
      <c r="AB215" s="206"/>
      <c r="AC215" s="207"/>
      <c r="AD215" s="206">
        <f>Y215+7</f>
        <v>7</v>
      </c>
      <c r="AE215" s="209">
        <f t="shared" si="54"/>
        <v>-7</v>
      </c>
      <c r="AF215" s="197"/>
      <c r="AG215" s="197"/>
      <c r="AH215" s="202">
        <f t="shared" si="55"/>
        <v>0</v>
      </c>
      <c r="AI215" s="210" t="e">
        <f>#REF!+5</f>
        <v>#REF!</v>
      </c>
      <c r="AJ215" s="197" t="s">
        <v>46</v>
      </c>
      <c r="AK215" s="211">
        <f t="shared" si="56"/>
        <v>0</v>
      </c>
      <c r="AL215" s="210">
        <f>Y215+90</f>
        <v>90</v>
      </c>
      <c r="AM215" s="197"/>
      <c r="AN215" s="202"/>
      <c r="AO215" s="202"/>
      <c r="AP215" s="202"/>
      <c r="AQ215" s="193"/>
      <c r="AR215" s="193"/>
      <c r="AS215" s="193"/>
      <c r="AT215" s="193"/>
      <c r="AU215" s="193"/>
      <c r="AV215" s="193"/>
      <c r="AW215" s="193"/>
      <c r="AX215" s="193"/>
      <c r="AY215" s="193"/>
      <c r="AZ215" s="193"/>
      <c r="BA215" s="193"/>
      <c r="BB215" s="193"/>
    </row>
    <row r="216" spans="1:56" s="213" customFormat="1" ht="24" customHeight="1">
      <c r="A216" s="197"/>
      <c r="B216" s="198"/>
      <c r="C216" s="194"/>
      <c r="D216" s="193"/>
      <c r="E216" s="194"/>
      <c r="F216" s="240"/>
      <c r="G216" s="194"/>
      <c r="H216" s="217"/>
      <c r="I216" s="217"/>
      <c r="J216" s="197"/>
      <c r="K216" s="197"/>
      <c r="L216" s="194"/>
      <c r="M216" s="194"/>
      <c r="N216" s="194"/>
      <c r="O216" s="193"/>
      <c r="P216" s="203">
        <v>0</v>
      </c>
      <c r="Q216" s="203">
        <f t="shared" si="50"/>
        <v>0</v>
      </c>
      <c r="R216" s="204" t="s">
        <v>30</v>
      </c>
      <c r="S216" s="203">
        <v>0</v>
      </c>
      <c r="T216" s="204">
        <f t="shared" si="51"/>
        <v>0</v>
      </c>
      <c r="U216" s="204">
        <f t="shared" si="52"/>
        <v>0</v>
      </c>
      <c r="V216" s="197"/>
      <c r="W216" s="205"/>
      <c r="X216" s="240"/>
      <c r="Y216" s="220"/>
      <c r="Z216" s="207"/>
      <c r="AA216" s="208"/>
      <c r="AB216" s="206"/>
      <c r="AC216" s="207"/>
      <c r="AD216" s="206">
        <f>Y216+7</f>
        <v>7</v>
      </c>
      <c r="AE216" s="209">
        <f t="shared" si="54"/>
        <v>-7</v>
      </c>
      <c r="AF216" s="197"/>
      <c r="AG216" s="197"/>
      <c r="AH216" s="202">
        <f t="shared" si="55"/>
        <v>0</v>
      </c>
      <c r="AI216" s="210" t="e">
        <f>#REF!+5</f>
        <v>#REF!</v>
      </c>
      <c r="AJ216" s="197" t="s">
        <v>46</v>
      </c>
      <c r="AK216" s="211">
        <f t="shared" si="56"/>
        <v>0</v>
      </c>
      <c r="AL216" s="210">
        <f>Y216+90</f>
        <v>90</v>
      </c>
      <c r="AM216" s="197"/>
      <c r="AN216" s="202"/>
      <c r="AO216" s="202"/>
      <c r="AP216" s="202"/>
      <c r="AQ216" s="193"/>
      <c r="AR216" s="193"/>
      <c r="AS216" s="193"/>
      <c r="AT216" s="193"/>
      <c r="AU216" s="193"/>
      <c r="AV216" s="193"/>
      <c r="AW216" s="193"/>
      <c r="AX216" s="193"/>
      <c r="AY216" s="193"/>
      <c r="AZ216" s="193"/>
      <c r="BA216" s="193"/>
      <c r="BB216" s="193"/>
    </row>
    <row r="217" spans="1:56" s="213" customFormat="1" ht="24" customHeight="1">
      <c r="A217" s="197"/>
      <c r="B217" s="197"/>
      <c r="C217" s="194"/>
      <c r="D217" s="193"/>
      <c r="E217" s="194"/>
      <c r="F217" s="194"/>
      <c r="G217" s="194"/>
      <c r="H217" s="217"/>
      <c r="I217" s="217"/>
      <c r="J217" s="197"/>
      <c r="K217" s="197"/>
      <c r="L217" s="194"/>
      <c r="M217" s="194"/>
      <c r="N217" s="194"/>
      <c r="O217" s="193"/>
      <c r="P217" s="203">
        <v>0</v>
      </c>
      <c r="Q217" s="204">
        <f t="shared" ref="Q217:Q226" si="57">M217*P217</f>
        <v>0</v>
      </c>
      <c r="R217" s="204" t="s">
        <v>30</v>
      </c>
      <c r="S217" s="203">
        <v>0</v>
      </c>
      <c r="T217" s="204">
        <f t="shared" ref="T217:T226" si="58">M217*S217</f>
        <v>0</v>
      </c>
      <c r="U217" s="204">
        <f t="shared" ref="U217:U226" si="59">P217-S217</f>
        <v>0</v>
      </c>
      <c r="V217" s="194"/>
      <c r="W217" s="205"/>
      <c r="X217" s="192"/>
      <c r="Y217" s="220"/>
      <c r="Z217" s="234"/>
      <c r="AA217" s="194"/>
      <c r="AB217" s="220"/>
      <c r="AC217" s="207"/>
      <c r="AD217" s="206">
        <f t="shared" ref="AD217:AD226" si="60">Y217+7</f>
        <v>7</v>
      </c>
      <c r="AE217" s="209">
        <f t="shared" ref="AE217:AE226" si="61">AC217-AD217</f>
        <v>-7</v>
      </c>
      <c r="AF217" s="197"/>
      <c r="AG217" s="197"/>
      <c r="AH217" s="222">
        <f t="shared" si="55"/>
        <v>0</v>
      </c>
      <c r="AI217" s="210" t="e">
        <f>#REF!+5</f>
        <v>#REF!</v>
      </c>
      <c r="AJ217" s="197" t="s">
        <v>46</v>
      </c>
      <c r="AK217" s="211">
        <f t="shared" si="56"/>
        <v>0</v>
      </c>
      <c r="AL217" s="210">
        <f t="shared" ref="AL217:AL226" si="62">Y217+60</f>
        <v>60</v>
      </c>
      <c r="AM217" s="223"/>
      <c r="AN217" s="194"/>
      <c r="AO217" s="194"/>
      <c r="AP217" s="194"/>
      <c r="AQ217" s="193"/>
      <c r="AR217" s="193"/>
      <c r="AS217" s="193"/>
      <c r="AT217" s="193"/>
      <c r="AU217" s="193"/>
      <c r="AV217" s="193"/>
      <c r="AW217" s="193"/>
      <c r="AX217" s="193"/>
      <c r="AY217" s="193"/>
      <c r="AZ217" s="193"/>
      <c r="BA217" s="193"/>
      <c r="BB217" s="193"/>
    </row>
    <row r="218" spans="1:56" s="213" customFormat="1" ht="24" customHeight="1">
      <c r="A218" s="197"/>
      <c r="B218" s="197"/>
      <c r="C218" s="194"/>
      <c r="D218" s="193"/>
      <c r="E218" s="194"/>
      <c r="F218" s="194"/>
      <c r="G218" s="194"/>
      <c r="H218" s="217"/>
      <c r="I218" s="217"/>
      <c r="J218" s="197"/>
      <c r="K218" s="197"/>
      <c r="L218" s="194"/>
      <c r="M218" s="194"/>
      <c r="N218" s="194"/>
      <c r="O218" s="193"/>
      <c r="P218" s="203">
        <v>0</v>
      </c>
      <c r="Q218" s="204">
        <f t="shared" si="57"/>
        <v>0</v>
      </c>
      <c r="R218" s="204" t="s">
        <v>30</v>
      </c>
      <c r="S218" s="203">
        <v>0</v>
      </c>
      <c r="T218" s="204">
        <f t="shared" si="58"/>
        <v>0</v>
      </c>
      <c r="U218" s="204">
        <f t="shared" si="59"/>
        <v>0</v>
      </c>
      <c r="V218" s="194"/>
      <c r="W218" s="205"/>
      <c r="X218" s="192"/>
      <c r="Y218" s="220"/>
      <c r="Z218" s="234"/>
      <c r="AA218" s="194"/>
      <c r="AB218" s="220"/>
      <c r="AC218" s="207"/>
      <c r="AD218" s="206">
        <f t="shared" si="60"/>
        <v>7</v>
      </c>
      <c r="AE218" s="209">
        <f t="shared" si="61"/>
        <v>-7</v>
      </c>
      <c r="AF218" s="197"/>
      <c r="AG218" s="197"/>
      <c r="AH218" s="222">
        <f t="shared" si="55"/>
        <v>0</v>
      </c>
      <c r="AI218" s="210" t="e">
        <f>#REF!+5</f>
        <v>#REF!</v>
      </c>
      <c r="AJ218" s="197" t="s">
        <v>46</v>
      </c>
      <c r="AK218" s="211">
        <f t="shared" si="56"/>
        <v>0</v>
      </c>
      <c r="AL218" s="210">
        <f t="shared" si="62"/>
        <v>60</v>
      </c>
      <c r="AM218" s="223"/>
      <c r="AN218" s="194"/>
      <c r="AO218" s="194"/>
      <c r="AP218" s="194"/>
      <c r="AQ218" s="193"/>
      <c r="AR218" s="193"/>
      <c r="AS218" s="193"/>
      <c r="AT218" s="193"/>
      <c r="AU218" s="193"/>
      <c r="AV218" s="193"/>
      <c r="AW218" s="193"/>
      <c r="AX218" s="193"/>
      <c r="AY218" s="193"/>
      <c r="AZ218" s="193"/>
      <c r="BA218" s="193"/>
      <c r="BB218" s="193"/>
    </row>
    <row r="219" spans="1:56" s="213" customFormat="1" ht="24" customHeight="1">
      <c r="A219" s="197"/>
      <c r="B219" s="198"/>
      <c r="C219" s="194"/>
      <c r="D219" s="193"/>
      <c r="E219" s="216"/>
      <c r="F219" s="194"/>
      <c r="G219" s="235"/>
      <c r="H219" s="217"/>
      <c r="I219" s="217"/>
      <c r="J219" s="197"/>
      <c r="K219" s="197"/>
      <c r="L219" s="218"/>
      <c r="M219" s="218"/>
      <c r="N219" s="219"/>
      <c r="O219" s="193"/>
      <c r="P219" s="203">
        <v>0</v>
      </c>
      <c r="Q219" s="204">
        <f t="shared" si="57"/>
        <v>0</v>
      </c>
      <c r="R219" s="204" t="s">
        <v>30</v>
      </c>
      <c r="S219" s="203">
        <v>0</v>
      </c>
      <c r="T219" s="204">
        <f t="shared" si="58"/>
        <v>0</v>
      </c>
      <c r="U219" s="204">
        <f t="shared" si="59"/>
        <v>0</v>
      </c>
      <c r="V219" s="194"/>
      <c r="W219" s="205"/>
      <c r="X219" s="192"/>
      <c r="Y219" s="220"/>
      <c r="Z219" s="234"/>
      <c r="AA219" s="194"/>
      <c r="AB219" s="220"/>
      <c r="AC219" s="207"/>
      <c r="AD219" s="206">
        <f t="shared" si="60"/>
        <v>7</v>
      </c>
      <c r="AE219" s="209">
        <f t="shared" si="61"/>
        <v>-7</v>
      </c>
      <c r="AF219" s="197"/>
      <c r="AG219" s="197"/>
      <c r="AH219" s="222">
        <f t="shared" si="55"/>
        <v>0</v>
      </c>
      <c r="AI219" s="210" t="e">
        <f>#REF!+5</f>
        <v>#REF!</v>
      </c>
      <c r="AJ219" s="197" t="s">
        <v>46</v>
      </c>
      <c r="AK219" s="211">
        <f t="shared" si="56"/>
        <v>0</v>
      </c>
      <c r="AL219" s="210">
        <f t="shared" si="62"/>
        <v>60</v>
      </c>
      <c r="AM219" s="223"/>
      <c r="AN219" s="202"/>
      <c r="AO219" s="194"/>
      <c r="AP219" s="194"/>
      <c r="AQ219" s="193"/>
      <c r="AR219" s="193"/>
      <c r="AS219" s="193"/>
      <c r="AT219" s="193"/>
      <c r="AU219" s="193"/>
      <c r="AV219" s="193"/>
      <c r="AW219" s="193"/>
      <c r="AX219" s="193"/>
      <c r="AY219" s="193"/>
      <c r="AZ219" s="193"/>
      <c r="BA219" s="193"/>
      <c r="BB219" s="193"/>
    </row>
    <row r="220" spans="1:56" s="213" customFormat="1" ht="24" customHeight="1">
      <c r="A220" s="197"/>
      <c r="B220" s="198"/>
      <c r="C220" s="194"/>
      <c r="D220" s="193"/>
      <c r="E220" s="216"/>
      <c r="F220" s="194"/>
      <c r="G220" s="235"/>
      <c r="H220" s="217"/>
      <c r="I220" s="217"/>
      <c r="J220" s="197"/>
      <c r="K220" s="197"/>
      <c r="L220" s="218"/>
      <c r="M220" s="218"/>
      <c r="N220" s="219"/>
      <c r="O220" s="193"/>
      <c r="P220" s="203">
        <v>0</v>
      </c>
      <c r="Q220" s="204">
        <f t="shared" si="57"/>
        <v>0</v>
      </c>
      <c r="R220" s="204" t="s">
        <v>30</v>
      </c>
      <c r="S220" s="203">
        <v>0</v>
      </c>
      <c r="T220" s="204">
        <f t="shared" si="58"/>
        <v>0</v>
      </c>
      <c r="U220" s="204">
        <f t="shared" si="59"/>
        <v>0</v>
      </c>
      <c r="V220" s="194"/>
      <c r="W220" s="205"/>
      <c r="X220" s="192"/>
      <c r="Y220" s="220"/>
      <c r="Z220" s="234"/>
      <c r="AA220" s="194"/>
      <c r="AB220" s="220"/>
      <c r="AC220" s="207"/>
      <c r="AD220" s="206">
        <f t="shared" si="60"/>
        <v>7</v>
      </c>
      <c r="AE220" s="209">
        <f t="shared" si="61"/>
        <v>-7</v>
      </c>
      <c r="AF220" s="197"/>
      <c r="AG220" s="197"/>
      <c r="AH220" s="222">
        <f t="shared" si="55"/>
        <v>0</v>
      </c>
      <c r="AI220" s="210" t="e">
        <f>#REF!+5</f>
        <v>#REF!</v>
      </c>
      <c r="AJ220" s="197" t="s">
        <v>46</v>
      </c>
      <c r="AK220" s="211">
        <f t="shared" si="56"/>
        <v>0</v>
      </c>
      <c r="AL220" s="210">
        <f t="shared" si="62"/>
        <v>60</v>
      </c>
      <c r="AM220" s="223"/>
      <c r="AN220" s="202"/>
      <c r="AO220" s="194"/>
      <c r="AP220" s="194"/>
      <c r="AQ220" s="193"/>
      <c r="AR220" s="193"/>
      <c r="AS220" s="193"/>
      <c r="AT220" s="193"/>
      <c r="AU220" s="193"/>
      <c r="AV220" s="193"/>
      <c r="AW220" s="193"/>
      <c r="AX220" s="193"/>
      <c r="AY220" s="193"/>
      <c r="AZ220" s="193"/>
      <c r="BA220" s="193"/>
      <c r="BB220" s="193"/>
    </row>
    <row r="221" spans="1:56" s="213" customFormat="1" ht="24" customHeight="1">
      <c r="A221" s="197"/>
      <c r="B221" s="198"/>
      <c r="C221" s="194"/>
      <c r="D221" s="193"/>
      <c r="E221" s="216"/>
      <c r="F221" s="194"/>
      <c r="G221" s="235"/>
      <c r="H221" s="217"/>
      <c r="I221" s="217"/>
      <c r="J221" s="197"/>
      <c r="K221" s="197"/>
      <c r="L221" s="218"/>
      <c r="M221" s="218"/>
      <c r="N221" s="219"/>
      <c r="O221" s="193"/>
      <c r="P221" s="203">
        <v>0</v>
      </c>
      <c r="Q221" s="204">
        <f t="shared" si="57"/>
        <v>0</v>
      </c>
      <c r="R221" s="204" t="s">
        <v>30</v>
      </c>
      <c r="S221" s="203">
        <v>0</v>
      </c>
      <c r="T221" s="204">
        <f t="shared" si="58"/>
        <v>0</v>
      </c>
      <c r="U221" s="204">
        <f t="shared" si="59"/>
        <v>0</v>
      </c>
      <c r="V221" s="194"/>
      <c r="W221" s="205"/>
      <c r="X221" s="192"/>
      <c r="Y221" s="220"/>
      <c r="Z221" s="234"/>
      <c r="AA221" s="194"/>
      <c r="AB221" s="220"/>
      <c r="AC221" s="207"/>
      <c r="AD221" s="206">
        <f t="shared" si="60"/>
        <v>7</v>
      </c>
      <c r="AE221" s="209">
        <f t="shared" si="61"/>
        <v>-7</v>
      </c>
      <c r="AF221" s="197"/>
      <c r="AG221" s="197"/>
      <c r="AH221" s="222">
        <f t="shared" si="55"/>
        <v>0</v>
      </c>
      <c r="AI221" s="210" t="e">
        <f>#REF!+5</f>
        <v>#REF!</v>
      </c>
      <c r="AJ221" s="197" t="s">
        <v>46</v>
      </c>
      <c r="AK221" s="211">
        <f t="shared" si="56"/>
        <v>0</v>
      </c>
      <c r="AL221" s="210">
        <f t="shared" si="62"/>
        <v>60</v>
      </c>
      <c r="AM221" s="223"/>
      <c r="AN221" s="202"/>
      <c r="AO221" s="194"/>
      <c r="AP221" s="194"/>
      <c r="AQ221" s="193"/>
      <c r="AR221" s="193"/>
      <c r="AS221" s="193"/>
      <c r="AT221" s="193"/>
      <c r="AU221" s="193"/>
      <c r="AV221" s="193"/>
      <c r="AW221" s="193"/>
      <c r="AX221" s="193"/>
      <c r="AY221" s="193"/>
      <c r="AZ221" s="193"/>
      <c r="BA221" s="193"/>
      <c r="BB221" s="193"/>
    </row>
    <row r="222" spans="1:56" s="213" customFormat="1" ht="24" customHeight="1">
      <c r="A222" s="197"/>
      <c r="B222" s="198"/>
      <c r="C222" s="194"/>
      <c r="D222" s="193"/>
      <c r="E222" s="216"/>
      <c r="F222" s="194"/>
      <c r="G222" s="235"/>
      <c r="H222" s="217"/>
      <c r="I222" s="217"/>
      <c r="J222" s="197"/>
      <c r="K222" s="197"/>
      <c r="L222" s="218"/>
      <c r="M222" s="218"/>
      <c r="N222" s="219"/>
      <c r="O222" s="193"/>
      <c r="P222" s="203">
        <v>0</v>
      </c>
      <c r="Q222" s="204">
        <f t="shared" si="57"/>
        <v>0</v>
      </c>
      <c r="R222" s="204" t="s">
        <v>30</v>
      </c>
      <c r="S222" s="203">
        <v>0</v>
      </c>
      <c r="T222" s="204">
        <f t="shared" si="58"/>
        <v>0</v>
      </c>
      <c r="U222" s="204">
        <f t="shared" si="59"/>
        <v>0</v>
      </c>
      <c r="V222" s="194"/>
      <c r="W222" s="205"/>
      <c r="X222" s="192"/>
      <c r="Y222" s="220"/>
      <c r="Z222" s="234"/>
      <c r="AA222" s="194"/>
      <c r="AB222" s="220"/>
      <c r="AC222" s="207"/>
      <c r="AD222" s="206">
        <f t="shared" si="60"/>
        <v>7</v>
      </c>
      <c r="AE222" s="209">
        <f t="shared" si="61"/>
        <v>-7</v>
      </c>
      <c r="AF222" s="197"/>
      <c r="AG222" s="197"/>
      <c r="AH222" s="222">
        <f t="shared" si="55"/>
        <v>0</v>
      </c>
      <c r="AI222" s="210" t="e">
        <f>#REF!+5</f>
        <v>#REF!</v>
      </c>
      <c r="AJ222" s="197" t="s">
        <v>46</v>
      </c>
      <c r="AK222" s="211">
        <f t="shared" si="56"/>
        <v>0</v>
      </c>
      <c r="AL222" s="210">
        <f t="shared" si="62"/>
        <v>60</v>
      </c>
      <c r="AM222" s="223"/>
      <c r="AN222" s="202"/>
      <c r="AO222" s="194"/>
      <c r="AP222" s="194"/>
      <c r="AQ222" s="193"/>
      <c r="AR222" s="193"/>
      <c r="AS222" s="193"/>
      <c r="AT222" s="193"/>
      <c r="AU222" s="193"/>
      <c r="AV222" s="193"/>
      <c r="AW222" s="193"/>
      <c r="AX222" s="193"/>
      <c r="AY222" s="193"/>
      <c r="AZ222" s="193"/>
      <c r="BA222" s="193"/>
      <c r="BB222" s="193"/>
    </row>
    <row r="223" spans="1:56" s="213" customFormat="1" ht="24" customHeight="1">
      <c r="A223" s="197"/>
      <c r="B223" s="198"/>
      <c r="C223" s="194"/>
      <c r="D223" s="193"/>
      <c r="E223" s="216"/>
      <c r="F223" s="194"/>
      <c r="G223" s="235"/>
      <c r="H223" s="217"/>
      <c r="I223" s="217"/>
      <c r="J223" s="197"/>
      <c r="K223" s="197"/>
      <c r="L223" s="218"/>
      <c r="M223" s="218"/>
      <c r="N223" s="219"/>
      <c r="O223" s="193"/>
      <c r="P223" s="203">
        <v>0</v>
      </c>
      <c r="Q223" s="204">
        <f t="shared" si="57"/>
        <v>0</v>
      </c>
      <c r="R223" s="204" t="s">
        <v>30</v>
      </c>
      <c r="S223" s="203">
        <v>0</v>
      </c>
      <c r="T223" s="204">
        <f t="shared" si="58"/>
        <v>0</v>
      </c>
      <c r="U223" s="204">
        <f t="shared" si="59"/>
        <v>0</v>
      </c>
      <c r="V223" s="194"/>
      <c r="W223" s="205"/>
      <c r="X223" s="192"/>
      <c r="Y223" s="220"/>
      <c r="Z223" s="234"/>
      <c r="AA223" s="194"/>
      <c r="AB223" s="220"/>
      <c r="AC223" s="207"/>
      <c r="AD223" s="206">
        <f t="shared" si="60"/>
        <v>7</v>
      </c>
      <c r="AE223" s="209">
        <f t="shared" si="61"/>
        <v>-7</v>
      </c>
      <c r="AF223" s="197"/>
      <c r="AG223" s="197"/>
      <c r="AH223" s="222">
        <f t="shared" si="55"/>
        <v>0</v>
      </c>
      <c r="AI223" s="210" t="e">
        <f>#REF!+5</f>
        <v>#REF!</v>
      </c>
      <c r="AJ223" s="197" t="s">
        <v>46</v>
      </c>
      <c r="AK223" s="211">
        <f t="shared" si="56"/>
        <v>0</v>
      </c>
      <c r="AL223" s="210">
        <f t="shared" si="62"/>
        <v>60</v>
      </c>
      <c r="AM223" s="223"/>
      <c r="AN223" s="202"/>
      <c r="AO223" s="194"/>
      <c r="AP223" s="194"/>
      <c r="AQ223" s="193"/>
      <c r="AR223" s="193"/>
      <c r="AS223" s="193"/>
      <c r="AT223" s="193"/>
      <c r="AU223" s="193"/>
      <c r="AV223" s="193"/>
      <c r="AW223" s="193"/>
      <c r="AX223" s="193"/>
      <c r="AY223" s="193"/>
      <c r="AZ223" s="193"/>
      <c r="BA223" s="193"/>
      <c r="BB223" s="193"/>
    </row>
    <row r="224" spans="1:56" s="213" customFormat="1" ht="24" customHeight="1">
      <c r="A224" s="197"/>
      <c r="B224" s="198"/>
      <c r="C224" s="194"/>
      <c r="D224" s="193"/>
      <c r="E224" s="244"/>
      <c r="F224" s="194"/>
      <c r="G224" s="235"/>
      <c r="H224" s="217"/>
      <c r="I224" s="217"/>
      <c r="J224" s="197"/>
      <c r="K224" s="197"/>
      <c r="L224" s="218"/>
      <c r="M224" s="218"/>
      <c r="N224" s="219"/>
      <c r="O224" s="193"/>
      <c r="P224" s="203">
        <v>0</v>
      </c>
      <c r="Q224" s="204">
        <f t="shared" si="57"/>
        <v>0</v>
      </c>
      <c r="R224" s="204" t="s">
        <v>30</v>
      </c>
      <c r="S224" s="203">
        <v>0</v>
      </c>
      <c r="T224" s="204">
        <f t="shared" si="58"/>
        <v>0</v>
      </c>
      <c r="U224" s="204">
        <f t="shared" si="59"/>
        <v>0</v>
      </c>
      <c r="V224" s="194"/>
      <c r="W224" s="205"/>
      <c r="X224" s="192"/>
      <c r="Y224" s="220"/>
      <c r="Z224" s="234"/>
      <c r="AA224" s="194"/>
      <c r="AB224" s="220"/>
      <c r="AC224" s="207"/>
      <c r="AD224" s="206">
        <f t="shared" si="60"/>
        <v>7</v>
      </c>
      <c r="AE224" s="209">
        <f t="shared" si="61"/>
        <v>-7</v>
      </c>
      <c r="AF224" s="197"/>
      <c r="AG224" s="197"/>
      <c r="AH224" s="222">
        <f t="shared" si="55"/>
        <v>0</v>
      </c>
      <c r="AI224" s="210" t="e">
        <f>#REF!+5</f>
        <v>#REF!</v>
      </c>
      <c r="AJ224" s="197" t="s">
        <v>46</v>
      </c>
      <c r="AK224" s="211">
        <f t="shared" si="56"/>
        <v>0</v>
      </c>
      <c r="AL224" s="210">
        <f t="shared" si="62"/>
        <v>60</v>
      </c>
      <c r="AM224" s="223"/>
      <c r="AN224" s="202"/>
      <c r="AO224" s="194"/>
      <c r="AP224" s="194"/>
      <c r="AQ224" s="193"/>
      <c r="AR224" s="193"/>
      <c r="AS224" s="193"/>
      <c r="AT224" s="193"/>
      <c r="AU224" s="193"/>
      <c r="AV224" s="193"/>
      <c r="AW224" s="193"/>
      <c r="AX224" s="193"/>
      <c r="AY224" s="193"/>
      <c r="AZ224" s="193"/>
      <c r="BA224" s="193"/>
      <c r="BB224" s="193"/>
    </row>
    <row r="225" spans="1:55" s="213" customFormat="1" ht="24" customHeight="1">
      <c r="A225" s="197"/>
      <c r="B225" s="198"/>
      <c r="C225" s="198"/>
      <c r="D225" s="193"/>
      <c r="E225" s="194"/>
      <c r="F225" s="194"/>
      <c r="G225" s="194"/>
      <c r="H225" s="217"/>
      <c r="I225" s="217"/>
      <c r="J225" s="197"/>
      <c r="K225" s="197"/>
      <c r="L225" s="194"/>
      <c r="M225" s="194"/>
      <c r="N225" s="194"/>
      <c r="O225" s="193"/>
      <c r="P225" s="203">
        <v>0</v>
      </c>
      <c r="Q225" s="204">
        <f t="shared" si="57"/>
        <v>0</v>
      </c>
      <c r="R225" s="204" t="s">
        <v>30</v>
      </c>
      <c r="S225" s="203">
        <v>0</v>
      </c>
      <c r="T225" s="204">
        <f t="shared" si="58"/>
        <v>0</v>
      </c>
      <c r="U225" s="204">
        <f t="shared" si="59"/>
        <v>0</v>
      </c>
      <c r="V225" s="194"/>
      <c r="W225" s="205"/>
      <c r="X225" s="192"/>
      <c r="Y225" s="220"/>
      <c r="Z225" s="234"/>
      <c r="AA225" s="208"/>
      <c r="AB225" s="206"/>
      <c r="AC225" s="207"/>
      <c r="AD225" s="206">
        <f t="shared" si="60"/>
        <v>7</v>
      </c>
      <c r="AE225" s="209">
        <f t="shared" si="61"/>
        <v>-7</v>
      </c>
      <c r="AF225" s="197"/>
      <c r="AG225" s="197"/>
      <c r="AH225" s="222">
        <f t="shared" si="55"/>
        <v>0</v>
      </c>
      <c r="AI225" s="210" t="e">
        <f>#REF!+5</f>
        <v>#REF!</v>
      </c>
      <c r="AJ225" s="197" t="s">
        <v>46</v>
      </c>
      <c r="AK225" s="211">
        <f t="shared" si="56"/>
        <v>0</v>
      </c>
      <c r="AL225" s="210">
        <f t="shared" si="62"/>
        <v>60</v>
      </c>
      <c r="AM225" s="223"/>
      <c r="AN225" s="202"/>
      <c r="AO225" s="202"/>
      <c r="AP225" s="202"/>
      <c r="AQ225" s="193"/>
      <c r="AR225" s="193"/>
      <c r="AS225" s="193"/>
      <c r="AT225" s="193"/>
      <c r="AU225" s="193"/>
      <c r="AV225" s="193"/>
      <c r="AW225" s="193"/>
      <c r="AX225" s="193"/>
      <c r="AY225" s="193"/>
      <c r="AZ225" s="193"/>
      <c r="BA225" s="193"/>
      <c r="BB225" s="193"/>
    </row>
    <row r="226" spans="1:55" s="213" customFormat="1" ht="24" customHeight="1">
      <c r="A226" s="197"/>
      <c r="B226" s="198"/>
      <c r="C226" s="198"/>
      <c r="D226" s="193"/>
      <c r="E226" s="199"/>
      <c r="F226" s="194"/>
      <c r="G226" s="199"/>
      <c r="H226" s="217"/>
      <c r="I226" s="217"/>
      <c r="J226" s="197"/>
      <c r="K226" s="197"/>
      <c r="L226" s="194"/>
      <c r="M226" s="194"/>
      <c r="N226" s="194"/>
      <c r="O226" s="193"/>
      <c r="P226" s="203">
        <v>0</v>
      </c>
      <c r="Q226" s="204">
        <f t="shared" si="57"/>
        <v>0</v>
      </c>
      <c r="R226" s="204" t="s">
        <v>30</v>
      </c>
      <c r="S226" s="203">
        <v>0</v>
      </c>
      <c r="T226" s="204">
        <f t="shared" si="58"/>
        <v>0</v>
      </c>
      <c r="U226" s="204">
        <f t="shared" si="59"/>
        <v>0</v>
      </c>
      <c r="V226" s="194"/>
      <c r="W226" s="205"/>
      <c r="X226" s="192"/>
      <c r="Y226" s="220"/>
      <c r="Z226" s="234"/>
      <c r="AA226" s="226"/>
      <c r="AB226" s="220"/>
      <c r="AC226" s="207"/>
      <c r="AD226" s="206">
        <f t="shared" si="60"/>
        <v>7</v>
      </c>
      <c r="AE226" s="209">
        <f t="shared" si="61"/>
        <v>-7</v>
      </c>
      <c r="AF226" s="197"/>
      <c r="AG226" s="197"/>
      <c r="AH226" s="222">
        <f t="shared" si="55"/>
        <v>0</v>
      </c>
      <c r="AI226" s="210" t="e">
        <f>#REF!+5</f>
        <v>#REF!</v>
      </c>
      <c r="AJ226" s="197" t="s">
        <v>46</v>
      </c>
      <c r="AK226" s="211">
        <f t="shared" si="56"/>
        <v>0</v>
      </c>
      <c r="AL226" s="210">
        <f t="shared" si="62"/>
        <v>60</v>
      </c>
      <c r="AM226" s="223"/>
      <c r="AN226" s="194"/>
      <c r="AO226" s="195"/>
      <c r="AP226" s="195"/>
      <c r="AQ226" s="193"/>
      <c r="AR226" s="193"/>
      <c r="AS226" s="193"/>
      <c r="AT226" s="193"/>
      <c r="AU226" s="193"/>
      <c r="AV226" s="193"/>
      <c r="AW226" s="193"/>
      <c r="AX226" s="193"/>
      <c r="AY226" s="193"/>
      <c r="AZ226" s="193"/>
      <c r="BA226" s="193"/>
      <c r="BB226" s="193"/>
    </row>
    <row r="227" spans="1:55" s="213" customFormat="1" ht="24" customHeight="1">
      <c r="A227" s="197"/>
      <c r="B227" s="198"/>
      <c r="C227" s="198"/>
      <c r="D227" s="193"/>
      <c r="E227" s="199"/>
      <c r="F227" s="194"/>
      <c r="G227" s="199"/>
      <c r="H227" s="217"/>
      <c r="I227" s="217"/>
      <c r="J227" s="197"/>
      <c r="K227" s="197"/>
      <c r="L227" s="194"/>
      <c r="M227" s="194"/>
      <c r="N227" s="194"/>
      <c r="O227" s="193"/>
      <c r="P227" s="203">
        <v>0</v>
      </c>
      <c r="Q227" s="204">
        <f t="shared" ref="Q227:Q234" si="63">M227*P227</f>
        <v>0</v>
      </c>
      <c r="R227" s="204" t="s">
        <v>30</v>
      </c>
      <c r="S227" s="203">
        <v>0</v>
      </c>
      <c r="T227" s="204">
        <f t="shared" ref="T227:T234" si="64">M227*S227</f>
        <v>0</v>
      </c>
      <c r="U227" s="204">
        <f t="shared" ref="U227:U234" si="65">P227-S227</f>
        <v>0</v>
      </c>
      <c r="V227" s="194"/>
      <c r="W227" s="205"/>
      <c r="X227" s="192"/>
      <c r="Y227" s="220"/>
      <c r="Z227" s="234"/>
      <c r="AA227" s="226"/>
      <c r="AB227" s="220"/>
      <c r="AC227" s="207"/>
      <c r="AD227" s="206">
        <f t="shared" si="53"/>
        <v>7</v>
      </c>
      <c r="AE227" s="209">
        <f t="shared" ref="AE227:AE233" si="66">AC227-AD227</f>
        <v>-7</v>
      </c>
      <c r="AF227" s="197"/>
      <c r="AG227" s="197"/>
      <c r="AH227" s="222">
        <f t="shared" si="55"/>
        <v>0</v>
      </c>
      <c r="AI227" s="210" t="e">
        <f>#REF!+5</f>
        <v>#REF!</v>
      </c>
      <c r="AJ227" s="197" t="s">
        <v>46</v>
      </c>
      <c r="AK227" s="211">
        <f t="shared" si="56"/>
        <v>0</v>
      </c>
      <c r="AL227" s="210">
        <f>Y227+90</f>
        <v>90</v>
      </c>
      <c r="AM227" s="197"/>
      <c r="AN227" s="194"/>
      <c r="AO227" s="195"/>
      <c r="AP227" s="368"/>
      <c r="AQ227" s="193"/>
      <c r="AR227" s="193"/>
      <c r="AS227" s="193"/>
      <c r="AT227" s="193"/>
      <c r="AU227" s="193"/>
      <c r="AV227" s="193"/>
      <c r="AW227" s="193"/>
      <c r="AX227" s="193"/>
      <c r="AY227" s="193"/>
      <c r="AZ227" s="193"/>
      <c r="BA227" s="193"/>
      <c r="BB227" s="193"/>
    </row>
    <row r="228" spans="1:55" s="213" customFormat="1" ht="24" customHeight="1">
      <c r="A228" s="197"/>
      <c r="B228" s="198"/>
      <c r="C228" s="198"/>
      <c r="D228" s="193"/>
      <c r="E228" s="199"/>
      <c r="F228" s="194"/>
      <c r="G228" s="199"/>
      <c r="H228" s="217"/>
      <c r="I228" s="217"/>
      <c r="J228" s="197"/>
      <c r="K228" s="197"/>
      <c r="L228" s="194"/>
      <c r="M228" s="194"/>
      <c r="N228" s="194"/>
      <c r="O228" s="193"/>
      <c r="P228" s="203">
        <v>0</v>
      </c>
      <c r="Q228" s="204">
        <f t="shared" si="63"/>
        <v>0</v>
      </c>
      <c r="R228" s="203" t="s">
        <v>30</v>
      </c>
      <c r="S228" s="203">
        <v>0</v>
      </c>
      <c r="T228" s="204">
        <f t="shared" si="64"/>
        <v>0</v>
      </c>
      <c r="U228" s="204">
        <f t="shared" si="65"/>
        <v>0</v>
      </c>
      <c r="V228" s="194"/>
      <c r="W228" s="205"/>
      <c r="X228" s="192"/>
      <c r="Y228" s="220"/>
      <c r="Z228" s="234"/>
      <c r="AA228" s="226"/>
      <c r="AB228" s="220"/>
      <c r="AC228" s="207"/>
      <c r="AD228" s="206">
        <f t="shared" si="53"/>
        <v>7</v>
      </c>
      <c r="AE228" s="209">
        <f t="shared" si="66"/>
        <v>-7</v>
      </c>
      <c r="AF228" s="197"/>
      <c r="AG228" s="197"/>
      <c r="AH228" s="222">
        <f t="shared" si="55"/>
        <v>0</v>
      </c>
      <c r="AI228" s="210" t="e">
        <f>#REF!+5</f>
        <v>#REF!</v>
      </c>
      <c r="AJ228" s="197" t="s">
        <v>46</v>
      </c>
      <c r="AK228" s="211">
        <f t="shared" si="56"/>
        <v>0</v>
      </c>
      <c r="AL228" s="210">
        <f>Y228+90</f>
        <v>90</v>
      </c>
      <c r="AM228" s="197"/>
      <c r="AN228" s="194"/>
      <c r="AO228" s="195"/>
      <c r="AP228" s="195"/>
      <c r="AQ228" s="193"/>
      <c r="AR228" s="193"/>
      <c r="AS228" s="193"/>
      <c r="AT228" s="193"/>
      <c r="AU228" s="193"/>
      <c r="AV228" s="193"/>
      <c r="AW228" s="193"/>
      <c r="AX228" s="193"/>
      <c r="AY228" s="193"/>
      <c r="AZ228" s="193"/>
      <c r="BA228" s="193"/>
      <c r="BB228" s="193"/>
    </row>
    <row r="229" spans="1:55" s="213" customFormat="1" ht="24" customHeight="1">
      <c r="A229" s="197"/>
      <c r="B229" s="198"/>
      <c r="C229" s="198"/>
      <c r="D229" s="193"/>
      <c r="E229" s="199"/>
      <c r="F229" s="194"/>
      <c r="G229" s="199"/>
      <c r="H229" s="217"/>
      <c r="I229" s="217"/>
      <c r="J229" s="197"/>
      <c r="K229" s="197"/>
      <c r="L229" s="194"/>
      <c r="M229" s="194"/>
      <c r="N229" s="194"/>
      <c r="O229" s="193"/>
      <c r="P229" s="203">
        <v>0</v>
      </c>
      <c r="Q229" s="204">
        <f t="shared" si="63"/>
        <v>0</v>
      </c>
      <c r="R229" s="204" t="s">
        <v>30</v>
      </c>
      <c r="S229" s="203">
        <v>0</v>
      </c>
      <c r="T229" s="204">
        <f t="shared" si="64"/>
        <v>0</v>
      </c>
      <c r="U229" s="204">
        <f t="shared" si="65"/>
        <v>0</v>
      </c>
      <c r="V229" s="194"/>
      <c r="W229" s="205"/>
      <c r="X229" s="192"/>
      <c r="Y229" s="220"/>
      <c r="Z229" s="234"/>
      <c r="AA229" s="226"/>
      <c r="AB229" s="220"/>
      <c r="AC229" s="207"/>
      <c r="AD229" s="206">
        <f t="shared" si="53"/>
        <v>7</v>
      </c>
      <c r="AE229" s="209">
        <f t="shared" si="66"/>
        <v>-7</v>
      </c>
      <c r="AF229" s="197"/>
      <c r="AG229" s="197"/>
      <c r="AH229" s="222">
        <f t="shared" si="55"/>
        <v>0</v>
      </c>
      <c r="AI229" s="210" t="e">
        <f>#REF!+5</f>
        <v>#REF!</v>
      </c>
      <c r="AJ229" s="197" t="s">
        <v>46</v>
      </c>
      <c r="AK229" s="211">
        <f t="shared" si="56"/>
        <v>0</v>
      </c>
      <c r="AL229" s="210">
        <f>Y229+90</f>
        <v>90</v>
      </c>
      <c r="AM229" s="197"/>
      <c r="AN229" s="194"/>
      <c r="AO229" s="195"/>
      <c r="AP229" s="195"/>
      <c r="AQ229" s="193"/>
      <c r="AR229" s="193"/>
      <c r="AS229" s="193"/>
      <c r="AT229" s="193"/>
      <c r="AU229" s="193"/>
      <c r="AV229" s="193"/>
      <c r="AW229" s="193"/>
      <c r="AX229" s="193"/>
      <c r="AY229" s="193"/>
      <c r="AZ229" s="193"/>
      <c r="BA229" s="193"/>
      <c r="BB229" s="193"/>
    </row>
    <row r="230" spans="1:55" s="213" customFormat="1" ht="24" customHeight="1">
      <c r="A230" s="197"/>
      <c r="B230" s="198"/>
      <c r="C230" s="198"/>
      <c r="D230" s="193"/>
      <c r="E230" s="199"/>
      <c r="F230" s="194"/>
      <c r="G230" s="199"/>
      <c r="H230" s="217"/>
      <c r="I230" s="217"/>
      <c r="J230" s="197"/>
      <c r="K230" s="197"/>
      <c r="L230" s="194"/>
      <c r="M230" s="194"/>
      <c r="N230" s="194"/>
      <c r="O230" s="193"/>
      <c r="P230" s="203">
        <v>0</v>
      </c>
      <c r="Q230" s="204">
        <f t="shared" si="63"/>
        <v>0</v>
      </c>
      <c r="R230" s="204" t="s">
        <v>30</v>
      </c>
      <c r="S230" s="203">
        <v>0</v>
      </c>
      <c r="T230" s="204">
        <f t="shared" si="64"/>
        <v>0</v>
      </c>
      <c r="U230" s="204">
        <f t="shared" si="65"/>
        <v>0</v>
      </c>
      <c r="V230" s="194"/>
      <c r="W230" s="205"/>
      <c r="X230" s="192"/>
      <c r="Y230" s="220"/>
      <c r="Z230" s="234"/>
      <c r="AA230" s="226"/>
      <c r="AB230" s="220"/>
      <c r="AC230" s="207"/>
      <c r="AD230" s="206">
        <f>Y230+7</f>
        <v>7</v>
      </c>
      <c r="AE230" s="209">
        <f t="shared" si="66"/>
        <v>-7</v>
      </c>
      <c r="AF230" s="197"/>
      <c r="AG230" s="197"/>
      <c r="AH230" s="222">
        <f t="shared" si="55"/>
        <v>0</v>
      </c>
      <c r="AI230" s="210" t="e">
        <f>#REF!+5</f>
        <v>#REF!</v>
      </c>
      <c r="AJ230" s="197" t="s">
        <v>46</v>
      </c>
      <c r="AK230" s="211">
        <f t="shared" si="56"/>
        <v>0</v>
      </c>
      <c r="AL230" s="210">
        <f>Y230+90</f>
        <v>90</v>
      </c>
      <c r="AM230" s="197"/>
      <c r="AN230" s="194"/>
      <c r="AO230" s="195"/>
      <c r="AP230" s="195"/>
      <c r="AQ230" s="193"/>
      <c r="AR230" s="193"/>
      <c r="AS230" s="193"/>
      <c r="AT230" s="193"/>
      <c r="AU230" s="193"/>
      <c r="AV230" s="193"/>
      <c r="AW230" s="193"/>
      <c r="AX230" s="193"/>
      <c r="AY230" s="193"/>
      <c r="AZ230" s="193"/>
      <c r="BA230" s="193"/>
      <c r="BB230" s="193"/>
    </row>
    <row r="231" spans="1:55" s="213" customFormat="1" ht="24" customHeight="1">
      <c r="A231" s="197"/>
      <c r="B231" s="198"/>
      <c r="C231" s="194"/>
      <c r="D231" s="193"/>
      <c r="E231" s="194"/>
      <c r="F231" s="199"/>
      <c r="G231" s="194"/>
      <c r="H231" s="217"/>
      <c r="I231" s="217"/>
      <c r="J231" s="197"/>
      <c r="K231" s="197"/>
      <c r="L231" s="201"/>
      <c r="M231" s="230"/>
      <c r="N231" s="202"/>
      <c r="O231" s="193"/>
      <c r="P231" s="203">
        <v>0</v>
      </c>
      <c r="Q231" s="204">
        <f>M231*P231</f>
        <v>0</v>
      </c>
      <c r="R231" s="204" t="s">
        <v>30</v>
      </c>
      <c r="S231" s="203">
        <v>0</v>
      </c>
      <c r="T231" s="204">
        <f>M231*S231</f>
        <v>0</v>
      </c>
      <c r="U231" s="204">
        <f>P231-S231</f>
        <v>0</v>
      </c>
      <c r="V231" s="197"/>
      <c r="W231" s="205"/>
      <c r="X231" s="192"/>
      <c r="Y231" s="220"/>
      <c r="Z231" s="207"/>
      <c r="AA231" s="208"/>
      <c r="AB231" s="206"/>
      <c r="AC231" s="207"/>
      <c r="AD231" s="206">
        <f>Y231+7</f>
        <v>7</v>
      </c>
      <c r="AE231" s="209">
        <f t="shared" si="66"/>
        <v>-7</v>
      </c>
      <c r="AF231" s="197"/>
      <c r="AG231" s="197"/>
      <c r="AH231" s="222">
        <f t="shared" si="55"/>
        <v>0</v>
      </c>
      <c r="AI231" s="210" t="e">
        <f>#REF!+5</f>
        <v>#REF!</v>
      </c>
      <c r="AJ231" s="197" t="s">
        <v>46</v>
      </c>
      <c r="AK231" s="211">
        <f t="shared" si="56"/>
        <v>0</v>
      </c>
      <c r="AL231" s="210">
        <f>Y231+90</f>
        <v>90</v>
      </c>
      <c r="AM231" s="197"/>
      <c r="AN231" s="202"/>
      <c r="AO231" s="195"/>
      <c r="AP231" s="195"/>
      <c r="AQ231" s="242"/>
      <c r="AR231" s="242"/>
      <c r="AS231" s="242"/>
      <c r="AT231" s="242"/>
      <c r="AU231" s="242"/>
      <c r="AV231" s="242"/>
      <c r="AW231" s="242"/>
      <c r="AX231" s="242"/>
      <c r="AY231" s="242"/>
      <c r="AZ231" s="242"/>
      <c r="BA231" s="242"/>
      <c r="BB231" s="242"/>
      <c r="BC231" s="373"/>
    </row>
    <row r="232" spans="1:55" s="213" customFormat="1" ht="24" customHeight="1">
      <c r="A232" s="197"/>
      <c r="B232" s="198"/>
      <c r="C232" s="194"/>
      <c r="D232" s="193"/>
      <c r="E232" s="194"/>
      <c r="F232" s="194"/>
      <c r="G232" s="194"/>
      <c r="H232" s="217"/>
      <c r="I232" s="217"/>
      <c r="J232" s="197"/>
      <c r="K232" s="197"/>
      <c r="L232" s="194"/>
      <c r="M232" s="194"/>
      <c r="N232" s="194"/>
      <c r="O232" s="193"/>
      <c r="P232" s="203">
        <v>0</v>
      </c>
      <c r="Q232" s="204">
        <f t="shared" si="63"/>
        <v>0</v>
      </c>
      <c r="R232" s="204" t="s">
        <v>30</v>
      </c>
      <c r="S232" s="203">
        <v>0</v>
      </c>
      <c r="T232" s="204">
        <f t="shared" si="64"/>
        <v>0</v>
      </c>
      <c r="U232" s="204">
        <f t="shared" si="65"/>
        <v>0</v>
      </c>
      <c r="V232" s="197"/>
      <c r="W232" s="205"/>
      <c r="X232" s="192"/>
      <c r="Y232" s="220"/>
      <c r="Z232" s="207"/>
      <c r="AA232" s="208"/>
      <c r="AB232" s="206"/>
      <c r="AC232" s="207"/>
      <c r="AD232" s="206">
        <f t="shared" si="53"/>
        <v>7</v>
      </c>
      <c r="AE232" s="209">
        <f t="shared" si="66"/>
        <v>-7</v>
      </c>
      <c r="AF232" s="197"/>
      <c r="AG232" s="197"/>
      <c r="AH232" s="222">
        <f t="shared" si="55"/>
        <v>0</v>
      </c>
      <c r="AI232" s="210" t="e">
        <f>#REF!+5</f>
        <v>#REF!</v>
      </c>
      <c r="AJ232" s="197" t="s">
        <v>46</v>
      </c>
      <c r="AK232" s="211">
        <f t="shared" si="56"/>
        <v>0</v>
      </c>
      <c r="AL232" s="210">
        <f>Y232+60</f>
        <v>60</v>
      </c>
      <c r="AM232" s="197"/>
      <c r="AN232" s="202"/>
      <c r="AO232" s="195"/>
      <c r="AP232" s="195"/>
      <c r="AQ232" s="193"/>
      <c r="AR232" s="193"/>
      <c r="AS232" s="193"/>
      <c r="AT232" s="193"/>
      <c r="AU232" s="193"/>
      <c r="AV232" s="193"/>
      <c r="AW232" s="193"/>
      <c r="AX232" s="193"/>
      <c r="AY232" s="193"/>
      <c r="AZ232" s="193"/>
      <c r="BA232" s="193"/>
      <c r="BB232" s="193"/>
    </row>
    <row r="233" spans="1:55" s="213" customFormat="1" ht="24" customHeight="1">
      <c r="A233" s="197"/>
      <c r="B233" s="198"/>
      <c r="C233" s="194"/>
      <c r="D233" s="193"/>
      <c r="E233" s="244"/>
      <c r="F233" s="194"/>
      <c r="G233" s="235"/>
      <c r="H233" s="217"/>
      <c r="I233" s="217"/>
      <c r="J233" s="197"/>
      <c r="K233" s="197"/>
      <c r="L233" s="218"/>
      <c r="M233" s="218"/>
      <c r="N233" s="219"/>
      <c r="O233" s="193"/>
      <c r="P233" s="203">
        <v>0</v>
      </c>
      <c r="Q233" s="204">
        <f t="shared" si="63"/>
        <v>0</v>
      </c>
      <c r="R233" s="204" t="s">
        <v>30</v>
      </c>
      <c r="S233" s="203">
        <v>0</v>
      </c>
      <c r="T233" s="204">
        <f t="shared" si="64"/>
        <v>0</v>
      </c>
      <c r="U233" s="204">
        <f t="shared" si="65"/>
        <v>0</v>
      </c>
      <c r="V233" s="194"/>
      <c r="W233" s="205"/>
      <c r="X233" s="192"/>
      <c r="Y233" s="220"/>
      <c r="Z233" s="234"/>
      <c r="AA233" s="194"/>
      <c r="AB233" s="220"/>
      <c r="AC233" s="207"/>
      <c r="AD233" s="206">
        <f t="shared" si="53"/>
        <v>7</v>
      </c>
      <c r="AE233" s="209">
        <f t="shared" si="66"/>
        <v>-7</v>
      </c>
      <c r="AF233" s="197"/>
      <c r="AG233" s="197"/>
      <c r="AH233" s="222">
        <f t="shared" si="55"/>
        <v>0</v>
      </c>
      <c r="AI233" s="210" t="e">
        <f>#REF!+5</f>
        <v>#REF!</v>
      </c>
      <c r="AJ233" s="197" t="s">
        <v>46</v>
      </c>
      <c r="AK233" s="211">
        <f t="shared" si="56"/>
        <v>0</v>
      </c>
      <c r="AL233" s="210">
        <f>Y233+60</f>
        <v>60</v>
      </c>
      <c r="AM233" s="223"/>
      <c r="AN233" s="202"/>
      <c r="AO233" s="194"/>
      <c r="AP233" s="194"/>
      <c r="AQ233" s="193"/>
      <c r="AR233" s="193"/>
      <c r="AS233" s="193"/>
      <c r="AT233" s="193"/>
      <c r="AU233" s="193"/>
      <c r="AV233" s="193"/>
      <c r="AW233" s="193"/>
      <c r="AX233" s="193"/>
      <c r="AY233" s="193"/>
      <c r="AZ233" s="193"/>
      <c r="BA233" s="193"/>
      <c r="BB233" s="193"/>
    </row>
    <row r="234" spans="1:55" s="213" customFormat="1" ht="24" customHeight="1">
      <c r="A234" s="197"/>
      <c r="B234" s="198"/>
      <c r="C234" s="198"/>
      <c r="D234" s="193"/>
      <c r="E234" s="216"/>
      <c r="F234" s="214"/>
      <c r="G234" s="227"/>
      <c r="H234" s="200"/>
      <c r="I234" s="217"/>
      <c r="J234" s="197"/>
      <c r="K234" s="197"/>
      <c r="L234" s="228"/>
      <c r="M234" s="228"/>
      <c r="N234" s="225"/>
      <c r="O234" s="197"/>
      <c r="P234" s="203">
        <v>0</v>
      </c>
      <c r="Q234" s="204">
        <f t="shared" si="63"/>
        <v>0</v>
      </c>
      <c r="R234" s="204" t="s">
        <v>30</v>
      </c>
      <c r="S234" s="203">
        <v>0</v>
      </c>
      <c r="T234" s="204">
        <f t="shared" si="64"/>
        <v>0</v>
      </c>
      <c r="U234" s="204">
        <f t="shared" si="65"/>
        <v>0</v>
      </c>
      <c r="V234" s="197"/>
      <c r="W234" s="205"/>
      <c r="X234" s="195"/>
      <c r="Y234" s="220"/>
      <c r="Z234" s="234"/>
      <c r="AA234" s="194"/>
      <c r="AB234" s="220"/>
      <c r="AC234" s="207"/>
      <c r="AD234" s="206">
        <f t="shared" si="53"/>
        <v>7</v>
      </c>
      <c r="AE234" s="209">
        <f>AC234-AD234</f>
        <v>-7</v>
      </c>
      <c r="AF234" s="197"/>
      <c r="AG234" s="197"/>
      <c r="AH234" s="202">
        <f t="shared" si="55"/>
        <v>0</v>
      </c>
      <c r="AI234" s="210" t="e">
        <f>#REF!+5</f>
        <v>#REF!</v>
      </c>
      <c r="AJ234" s="197" t="s">
        <v>46</v>
      </c>
      <c r="AK234" s="211">
        <f t="shared" si="56"/>
        <v>0</v>
      </c>
      <c r="AL234" s="210">
        <f>Y234+90</f>
        <v>90</v>
      </c>
      <c r="AM234" s="197"/>
      <c r="AN234" s="194"/>
      <c r="AO234" s="194"/>
      <c r="AP234" s="194"/>
      <c r="AQ234" s="193"/>
      <c r="AR234" s="193"/>
      <c r="AS234" s="193"/>
      <c r="AT234" s="193"/>
      <c r="AU234" s="193"/>
      <c r="AV234" s="193"/>
      <c r="AW234" s="193"/>
      <c r="AX234" s="193"/>
      <c r="AY234" s="193"/>
      <c r="AZ234" s="193"/>
      <c r="BA234" s="193"/>
      <c r="BB234" s="193"/>
    </row>
    <row r="235" spans="1:55" s="213" customFormat="1" ht="24" customHeight="1">
      <c r="A235" s="197"/>
      <c r="B235" s="198"/>
      <c r="C235" s="198"/>
      <c r="D235" s="193"/>
      <c r="E235" s="216"/>
      <c r="F235" s="214"/>
      <c r="G235" s="227"/>
      <c r="H235" s="200"/>
      <c r="I235" s="217"/>
      <c r="J235" s="197"/>
      <c r="K235" s="197"/>
      <c r="L235" s="228"/>
      <c r="M235" s="228"/>
      <c r="N235" s="225"/>
      <c r="O235" s="197"/>
      <c r="P235" s="203">
        <v>0</v>
      </c>
      <c r="Q235" s="204">
        <f>M235*P235</f>
        <v>0</v>
      </c>
      <c r="R235" s="204" t="s">
        <v>30</v>
      </c>
      <c r="S235" s="203">
        <v>0</v>
      </c>
      <c r="T235" s="204">
        <f>M235*S235</f>
        <v>0</v>
      </c>
      <c r="U235" s="204">
        <f>P235-S235</f>
        <v>0</v>
      </c>
      <c r="V235" s="197"/>
      <c r="W235" s="205"/>
      <c r="X235" s="195"/>
      <c r="Y235" s="220"/>
      <c r="Z235" s="234"/>
      <c r="AA235" s="194"/>
      <c r="AB235" s="220"/>
      <c r="AC235" s="207"/>
      <c r="AD235" s="206">
        <f>Y235+7</f>
        <v>7</v>
      </c>
      <c r="AE235" s="209">
        <f>AC235-AD235</f>
        <v>-7</v>
      </c>
      <c r="AF235" s="197"/>
      <c r="AG235" s="197"/>
      <c r="AH235" s="202">
        <f t="shared" si="55"/>
        <v>0</v>
      </c>
      <c r="AI235" s="210" t="e">
        <f>#REF!+5</f>
        <v>#REF!</v>
      </c>
      <c r="AJ235" s="197" t="s">
        <v>46</v>
      </c>
      <c r="AK235" s="211">
        <f t="shared" si="56"/>
        <v>0</v>
      </c>
      <c r="AL235" s="210">
        <f>Y235+90</f>
        <v>90</v>
      </c>
      <c r="AM235" s="197"/>
      <c r="AN235" s="194"/>
      <c r="AO235" s="194"/>
      <c r="AP235" s="194"/>
      <c r="AQ235" s="193"/>
      <c r="AR235" s="193"/>
      <c r="AS235" s="193"/>
      <c r="AT235" s="193"/>
      <c r="AU235" s="193"/>
      <c r="AV235" s="193"/>
      <c r="AW235" s="193"/>
      <c r="AX235" s="193"/>
      <c r="AY235" s="193"/>
      <c r="AZ235" s="193"/>
      <c r="BA235" s="193"/>
      <c r="BB235" s="193"/>
    </row>
    <row r="236" spans="1:55" s="213" customFormat="1" ht="24" customHeight="1">
      <c r="A236" s="197"/>
      <c r="B236" s="198"/>
      <c r="C236" s="194"/>
      <c r="D236" s="193"/>
      <c r="E236" s="244"/>
      <c r="F236" s="194"/>
      <c r="G236" s="235"/>
      <c r="H236" s="217"/>
      <c r="I236" s="217"/>
      <c r="J236" s="197"/>
      <c r="K236" s="197"/>
      <c r="L236" s="218"/>
      <c r="M236" s="218"/>
      <c r="N236" s="219"/>
      <c r="O236" s="193"/>
      <c r="P236" s="203">
        <v>0</v>
      </c>
      <c r="Q236" s="204">
        <f t="shared" ref="Q236" si="67">M236*P236</f>
        <v>0</v>
      </c>
      <c r="R236" s="204" t="s">
        <v>30</v>
      </c>
      <c r="S236" s="203">
        <v>0</v>
      </c>
      <c r="T236" s="204">
        <f t="shared" ref="T236" si="68">M236*S236</f>
        <v>0</v>
      </c>
      <c r="U236" s="204">
        <f t="shared" ref="U236" si="69">P236-S236</f>
        <v>0</v>
      </c>
      <c r="V236" s="194"/>
      <c r="W236" s="205"/>
      <c r="X236" s="192"/>
      <c r="Y236" s="220"/>
      <c r="Z236" s="234"/>
      <c r="AA236" s="194"/>
      <c r="AB236" s="220"/>
      <c r="AC236" s="207"/>
      <c r="AD236" s="206">
        <f t="shared" ref="AD236" si="70">Y236+7</f>
        <v>7</v>
      </c>
      <c r="AE236" s="209">
        <f t="shared" ref="AE236" si="71">AC236-AD236</f>
        <v>-7</v>
      </c>
      <c r="AF236" s="197"/>
      <c r="AG236" s="197"/>
      <c r="AH236" s="222">
        <f t="shared" si="55"/>
        <v>0</v>
      </c>
      <c r="AI236" s="210" t="e">
        <f>#REF!+5</f>
        <v>#REF!</v>
      </c>
      <c r="AJ236" s="197" t="s">
        <v>46</v>
      </c>
      <c r="AK236" s="211">
        <f t="shared" si="56"/>
        <v>0</v>
      </c>
      <c r="AL236" s="210">
        <f>Y236+60</f>
        <v>60</v>
      </c>
      <c r="AM236" s="223"/>
      <c r="AN236" s="202"/>
      <c r="AO236" s="194"/>
      <c r="AP236" s="194"/>
      <c r="AQ236" s="193"/>
      <c r="AR236" s="193"/>
      <c r="AS236" s="193"/>
      <c r="AT236" s="193"/>
      <c r="AU236" s="193"/>
      <c r="AV236" s="193"/>
      <c r="AW236" s="193"/>
      <c r="AX236" s="193"/>
      <c r="AY236" s="193"/>
      <c r="AZ236" s="193"/>
      <c r="BA236" s="193"/>
      <c r="BB236" s="193"/>
    </row>
    <row r="237" spans="1:55" s="213" customFormat="1" ht="24" customHeight="1">
      <c r="A237" s="197"/>
      <c r="B237" s="198"/>
      <c r="C237" s="194"/>
      <c r="D237" s="193"/>
      <c r="E237" s="244"/>
      <c r="F237" s="194"/>
      <c r="G237" s="235"/>
      <c r="H237" s="217"/>
      <c r="I237" s="217"/>
      <c r="J237" s="197"/>
      <c r="K237" s="197"/>
      <c r="L237" s="218"/>
      <c r="M237" s="218"/>
      <c r="N237" s="219"/>
      <c r="O237" s="193"/>
      <c r="P237" s="203">
        <v>0</v>
      </c>
      <c r="Q237" s="204">
        <f t="shared" ref="Q237" si="72">M237*P237</f>
        <v>0</v>
      </c>
      <c r="R237" s="204" t="s">
        <v>30</v>
      </c>
      <c r="S237" s="203">
        <v>0</v>
      </c>
      <c r="T237" s="204">
        <f t="shared" ref="T237" si="73">M237*S237</f>
        <v>0</v>
      </c>
      <c r="U237" s="204">
        <f t="shared" ref="U237" si="74">P237-S237</f>
        <v>0</v>
      </c>
      <c r="V237" s="194"/>
      <c r="W237" s="205"/>
      <c r="X237" s="192"/>
      <c r="Y237" s="220"/>
      <c r="Z237" s="234"/>
      <c r="AA237" s="194"/>
      <c r="AB237" s="220"/>
      <c r="AC237" s="207"/>
      <c r="AD237" s="206">
        <f t="shared" ref="AD237" si="75">Y237+7</f>
        <v>7</v>
      </c>
      <c r="AE237" s="209">
        <f t="shared" ref="AE237" si="76">AC237-AD237</f>
        <v>-7</v>
      </c>
      <c r="AF237" s="197"/>
      <c r="AG237" s="197"/>
      <c r="AH237" s="222">
        <f t="shared" si="55"/>
        <v>0</v>
      </c>
      <c r="AI237" s="210" t="e">
        <f>#REF!+5</f>
        <v>#REF!</v>
      </c>
      <c r="AJ237" s="197" t="s">
        <v>46</v>
      </c>
      <c r="AK237" s="211">
        <f t="shared" si="56"/>
        <v>0</v>
      </c>
      <c r="AL237" s="210">
        <f>Y237+60</f>
        <v>60</v>
      </c>
      <c r="AM237" s="223"/>
      <c r="AN237" s="202"/>
      <c r="AO237" s="194"/>
      <c r="AP237" s="194"/>
      <c r="AQ237" s="193"/>
      <c r="AR237" s="193"/>
      <c r="AS237" s="193"/>
      <c r="AT237" s="193"/>
      <c r="AU237" s="193"/>
      <c r="AV237" s="193"/>
      <c r="AW237" s="193"/>
      <c r="AX237" s="193"/>
      <c r="AY237" s="193"/>
      <c r="AZ237" s="193"/>
      <c r="BA237" s="193"/>
      <c r="BB237" s="193"/>
    </row>
    <row r="238" spans="1:55" s="213" customFormat="1" ht="24" customHeight="1">
      <c r="A238" s="197"/>
      <c r="B238" s="198"/>
      <c r="C238" s="198"/>
      <c r="D238" s="193"/>
      <c r="E238" s="216"/>
      <c r="F238" s="214"/>
      <c r="G238" s="227"/>
      <c r="H238" s="200"/>
      <c r="I238" s="217"/>
      <c r="J238" s="197"/>
      <c r="K238" s="197"/>
      <c r="L238" s="228"/>
      <c r="M238" s="228"/>
      <c r="N238" s="225"/>
      <c r="O238" s="197"/>
      <c r="P238" s="203">
        <v>0</v>
      </c>
      <c r="Q238" s="204">
        <f>M238*P238</f>
        <v>0</v>
      </c>
      <c r="R238" s="204" t="s">
        <v>30</v>
      </c>
      <c r="S238" s="203">
        <v>0</v>
      </c>
      <c r="T238" s="204">
        <f>M238*S238</f>
        <v>0</v>
      </c>
      <c r="U238" s="204">
        <f>P238-S238</f>
        <v>0</v>
      </c>
      <c r="V238" s="197"/>
      <c r="W238" s="205"/>
      <c r="X238" s="195"/>
      <c r="Y238" s="220"/>
      <c r="Z238" s="234"/>
      <c r="AA238" s="194"/>
      <c r="AB238" s="220"/>
      <c r="AC238" s="207"/>
      <c r="AD238" s="206">
        <f>Y238+7</f>
        <v>7</v>
      </c>
      <c r="AE238" s="209">
        <f>AC238-AD238</f>
        <v>-7</v>
      </c>
      <c r="AF238" s="197"/>
      <c r="AG238" s="197"/>
      <c r="AH238" s="202">
        <f t="shared" si="55"/>
        <v>0</v>
      </c>
      <c r="AI238" s="210" t="e">
        <f>#REF!+5</f>
        <v>#REF!</v>
      </c>
      <c r="AJ238" s="197" t="s">
        <v>46</v>
      </c>
      <c r="AK238" s="211">
        <f t="shared" si="56"/>
        <v>0</v>
      </c>
      <c r="AL238" s="210">
        <f>Y238+90</f>
        <v>90</v>
      </c>
      <c r="AM238" s="197"/>
      <c r="AN238" s="194"/>
      <c r="AO238" s="194"/>
      <c r="AP238" s="194"/>
      <c r="AQ238" s="193"/>
      <c r="AR238" s="193"/>
      <c r="AS238" s="193"/>
      <c r="AT238" s="193"/>
      <c r="AU238" s="193"/>
      <c r="AV238" s="193"/>
      <c r="AW238" s="193"/>
      <c r="AX238" s="193"/>
      <c r="AY238" s="193"/>
      <c r="AZ238" s="193"/>
      <c r="BA238" s="193"/>
      <c r="BB238" s="193"/>
    </row>
    <row r="239" spans="1:55" s="213" customFormat="1" ht="24" customHeight="1">
      <c r="A239" s="197"/>
      <c r="B239" s="198"/>
      <c r="C239" s="198"/>
      <c r="D239" s="193"/>
      <c r="E239" s="194"/>
      <c r="F239" s="194"/>
      <c r="G239" s="194"/>
      <c r="H239" s="217"/>
      <c r="I239" s="217"/>
      <c r="J239" s="194"/>
      <c r="K239" s="197"/>
      <c r="L239" s="194"/>
      <c r="M239" s="225"/>
      <c r="N239" s="225"/>
      <c r="O239" s="193"/>
      <c r="P239" s="203">
        <v>0</v>
      </c>
      <c r="Q239" s="204">
        <f t="shared" ref="Q239" si="77">M239*P239</f>
        <v>0</v>
      </c>
      <c r="R239" s="204" t="s">
        <v>30</v>
      </c>
      <c r="S239" s="203">
        <v>0</v>
      </c>
      <c r="T239" s="204">
        <f t="shared" ref="T239" si="78">M239*S239</f>
        <v>0</v>
      </c>
      <c r="U239" s="204">
        <f t="shared" ref="U239" si="79">P239-S239</f>
        <v>0</v>
      </c>
      <c r="V239" s="194"/>
      <c r="W239" s="205"/>
      <c r="X239" s="192"/>
      <c r="Y239" s="224"/>
      <c r="Z239" s="224"/>
      <c r="AA239" s="226"/>
      <c r="AB239" s="224"/>
      <c r="AC239" s="206"/>
      <c r="AD239" s="206">
        <f t="shared" ref="AD239:AD240" si="80">Y239+7</f>
        <v>7</v>
      </c>
      <c r="AE239" s="209">
        <f t="shared" ref="AE239:AE240" si="81">AC239-AD239</f>
        <v>-7</v>
      </c>
      <c r="AF239" s="197"/>
      <c r="AG239" s="197"/>
      <c r="AH239" s="222">
        <f t="shared" si="55"/>
        <v>0</v>
      </c>
      <c r="AI239" s="210" t="e">
        <f>#REF!+5</f>
        <v>#REF!</v>
      </c>
      <c r="AJ239" s="197" t="s">
        <v>46</v>
      </c>
      <c r="AK239" s="211">
        <f t="shared" si="56"/>
        <v>0</v>
      </c>
      <c r="AL239" s="210">
        <f t="shared" ref="AL239:AL251" si="82">Y239+60</f>
        <v>60</v>
      </c>
      <c r="AM239" s="197"/>
      <c r="AN239" s="194"/>
      <c r="AO239" s="195"/>
      <c r="AP239" s="195"/>
      <c r="AQ239" s="193"/>
      <c r="AR239" s="193"/>
      <c r="AS239" s="193"/>
      <c r="AT239" s="193"/>
      <c r="AU239" s="193"/>
      <c r="AV239" s="193"/>
      <c r="AW239" s="193"/>
      <c r="AX239" s="193"/>
      <c r="AY239" s="193"/>
      <c r="AZ239" s="193"/>
      <c r="BA239" s="193"/>
      <c r="BB239" s="193"/>
    </row>
    <row r="240" spans="1:55" s="213" customFormat="1" ht="24" customHeight="1">
      <c r="A240" s="197"/>
      <c r="B240" s="198"/>
      <c r="C240" s="198"/>
      <c r="D240" s="193"/>
      <c r="E240" s="194"/>
      <c r="F240" s="194"/>
      <c r="G240" s="194"/>
      <c r="H240" s="217"/>
      <c r="I240" s="217"/>
      <c r="J240" s="194"/>
      <c r="K240" s="197"/>
      <c r="L240" s="194"/>
      <c r="M240" s="225"/>
      <c r="N240" s="225"/>
      <c r="O240" s="193"/>
      <c r="P240" s="203">
        <v>0</v>
      </c>
      <c r="Q240" s="204">
        <f t="shared" ref="Q240" si="83">M240*P240</f>
        <v>0</v>
      </c>
      <c r="R240" s="204" t="s">
        <v>30</v>
      </c>
      <c r="S240" s="203">
        <v>0</v>
      </c>
      <c r="T240" s="204">
        <f t="shared" ref="T240" si="84">M240*S240</f>
        <v>0</v>
      </c>
      <c r="U240" s="204">
        <f>P240-S240</f>
        <v>0</v>
      </c>
      <c r="V240" s="194"/>
      <c r="W240" s="205"/>
      <c r="X240" s="192"/>
      <c r="Y240" s="224"/>
      <c r="Z240" s="224"/>
      <c r="AA240" s="226"/>
      <c r="AB240" s="224"/>
      <c r="AC240" s="206"/>
      <c r="AD240" s="206">
        <f t="shared" si="80"/>
        <v>7</v>
      </c>
      <c r="AE240" s="209">
        <f t="shared" si="81"/>
        <v>-7</v>
      </c>
      <c r="AF240" s="197"/>
      <c r="AG240" s="197"/>
      <c r="AH240" s="222">
        <f t="shared" si="55"/>
        <v>0</v>
      </c>
      <c r="AI240" s="210" t="e">
        <f>#REF!+5</f>
        <v>#REF!</v>
      </c>
      <c r="AJ240" s="197" t="s">
        <v>46</v>
      </c>
      <c r="AK240" s="211">
        <f t="shared" si="56"/>
        <v>0</v>
      </c>
      <c r="AL240" s="210">
        <f t="shared" si="82"/>
        <v>60</v>
      </c>
      <c r="AM240" s="197"/>
      <c r="AN240" s="194"/>
      <c r="AO240" s="195"/>
      <c r="AP240" s="195"/>
      <c r="AQ240" s="245"/>
      <c r="AR240" s="245"/>
      <c r="AS240" s="245"/>
      <c r="AT240" s="245"/>
      <c r="AU240" s="245"/>
      <c r="AV240" s="245"/>
      <c r="AW240" s="245"/>
      <c r="AX240" s="245"/>
      <c r="AY240" s="245"/>
      <c r="AZ240" s="245"/>
      <c r="BA240" s="245"/>
      <c r="BB240" s="245"/>
      <c r="BC240" s="374"/>
    </row>
    <row r="241" spans="1:56" s="213" customFormat="1" ht="24" customHeight="1">
      <c r="A241" s="197"/>
      <c r="B241" s="198"/>
      <c r="C241" s="198"/>
      <c r="D241" s="193"/>
      <c r="E241" s="194"/>
      <c r="F241" s="194"/>
      <c r="G241" s="194"/>
      <c r="H241" s="217"/>
      <c r="I241" s="215"/>
      <c r="J241" s="194"/>
      <c r="K241" s="197"/>
      <c r="L241" s="194"/>
      <c r="M241" s="225"/>
      <c r="N241" s="225"/>
      <c r="O241" s="193"/>
      <c r="P241" s="203">
        <v>0</v>
      </c>
      <c r="Q241" s="204">
        <f t="shared" ref="Q241:Q258" si="85">M241*P241</f>
        <v>0</v>
      </c>
      <c r="R241" s="204" t="s">
        <v>30</v>
      </c>
      <c r="S241" s="203">
        <v>0</v>
      </c>
      <c r="T241" s="204">
        <f t="shared" ref="T241:T245" si="86">M241*S241</f>
        <v>0</v>
      </c>
      <c r="U241" s="204">
        <f t="shared" ref="U241:U245" si="87">P241-S241</f>
        <v>0</v>
      </c>
      <c r="V241" s="194"/>
      <c r="W241" s="205"/>
      <c r="X241" s="192"/>
      <c r="Y241" s="224"/>
      <c r="Z241" s="224"/>
      <c r="AA241" s="226"/>
      <c r="AB241" s="224"/>
      <c r="AC241" s="206"/>
      <c r="AD241" s="206">
        <f t="shared" si="53"/>
        <v>7</v>
      </c>
      <c r="AE241" s="209">
        <f t="shared" ref="AE241:AE245" si="88">AC241-AD241</f>
        <v>-7</v>
      </c>
      <c r="AF241" s="197"/>
      <c r="AG241" s="197"/>
      <c r="AH241" s="222">
        <f t="shared" si="55"/>
        <v>0</v>
      </c>
      <c r="AI241" s="210" t="e">
        <f>#REF!+5</f>
        <v>#REF!</v>
      </c>
      <c r="AJ241" s="197" t="s">
        <v>46</v>
      </c>
      <c r="AK241" s="211">
        <f t="shared" si="56"/>
        <v>0</v>
      </c>
      <c r="AL241" s="210">
        <f t="shared" si="82"/>
        <v>60</v>
      </c>
      <c r="AM241" s="197"/>
      <c r="AN241" s="194"/>
      <c r="AO241" s="195"/>
      <c r="AP241" s="195"/>
      <c r="AQ241" s="193"/>
      <c r="AR241" s="193"/>
      <c r="AS241" s="193"/>
      <c r="AT241" s="193"/>
      <c r="AU241" s="193"/>
      <c r="AV241" s="193"/>
      <c r="AW241" s="193"/>
      <c r="AX241" s="193"/>
      <c r="AY241" s="193"/>
      <c r="AZ241" s="193"/>
      <c r="BA241" s="193"/>
      <c r="BB241" s="193"/>
      <c r="BC241" s="375"/>
    </row>
    <row r="242" spans="1:56" s="213" customFormat="1" ht="24" customHeight="1">
      <c r="A242" s="197"/>
      <c r="B242" s="198"/>
      <c r="C242" s="198"/>
      <c r="D242" s="193"/>
      <c r="E242" s="194"/>
      <c r="F242" s="194"/>
      <c r="G242" s="194"/>
      <c r="H242" s="217"/>
      <c r="I242" s="217"/>
      <c r="J242" s="194"/>
      <c r="K242" s="197"/>
      <c r="L242" s="194"/>
      <c r="M242" s="225"/>
      <c r="N242" s="225"/>
      <c r="O242" s="193"/>
      <c r="P242" s="203">
        <v>0</v>
      </c>
      <c r="Q242" s="204">
        <f t="shared" si="85"/>
        <v>0</v>
      </c>
      <c r="R242" s="204" t="s">
        <v>30</v>
      </c>
      <c r="S242" s="203">
        <v>0</v>
      </c>
      <c r="T242" s="204">
        <f t="shared" si="86"/>
        <v>0</v>
      </c>
      <c r="U242" s="204">
        <f t="shared" si="87"/>
        <v>0</v>
      </c>
      <c r="V242" s="195"/>
      <c r="W242" s="205"/>
      <c r="X242" s="192"/>
      <c r="Y242" s="224"/>
      <c r="Z242" s="224"/>
      <c r="AA242" s="194"/>
      <c r="AB242" s="224"/>
      <c r="AC242" s="206"/>
      <c r="AD242" s="206">
        <f t="shared" si="53"/>
        <v>7</v>
      </c>
      <c r="AE242" s="209">
        <f t="shared" si="88"/>
        <v>-7</v>
      </c>
      <c r="AF242" s="197"/>
      <c r="AG242" s="197"/>
      <c r="AH242" s="222">
        <f t="shared" si="55"/>
        <v>0</v>
      </c>
      <c r="AI242" s="210" t="e">
        <f>#REF!+5</f>
        <v>#REF!</v>
      </c>
      <c r="AJ242" s="197" t="s">
        <v>46</v>
      </c>
      <c r="AK242" s="211">
        <f t="shared" si="56"/>
        <v>0</v>
      </c>
      <c r="AL242" s="210">
        <f t="shared" si="82"/>
        <v>60</v>
      </c>
      <c r="AM242" s="197"/>
      <c r="AN242" s="194"/>
      <c r="AO242" s="195"/>
      <c r="AP242" s="195"/>
      <c r="AQ242" s="193"/>
      <c r="AR242" s="193"/>
      <c r="AS242" s="193"/>
      <c r="AT242" s="193"/>
      <c r="AU242" s="193"/>
      <c r="AV242" s="193"/>
      <c r="AW242" s="193"/>
      <c r="AX242" s="193"/>
      <c r="AY242" s="193"/>
      <c r="AZ242" s="193"/>
      <c r="BA242" s="193"/>
      <c r="BB242" s="193"/>
      <c r="BC242" s="375"/>
      <c r="BD242" s="236"/>
    </row>
    <row r="243" spans="1:56" s="213" customFormat="1" ht="24" customHeight="1">
      <c r="A243" s="197"/>
      <c r="B243" s="198"/>
      <c r="C243" s="198"/>
      <c r="D243" s="193"/>
      <c r="E243" s="194"/>
      <c r="F243" s="194"/>
      <c r="G243" s="194"/>
      <c r="H243" s="217"/>
      <c r="I243" s="215"/>
      <c r="J243" s="194"/>
      <c r="K243" s="197"/>
      <c r="L243" s="194"/>
      <c r="M243" s="194"/>
      <c r="N243" s="225"/>
      <c r="O243" s="193"/>
      <c r="P243" s="203">
        <v>0</v>
      </c>
      <c r="Q243" s="204">
        <f t="shared" si="85"/>
        <v>0</v>
      </c>
      <c r="R243" s="204" t="s">
        <v>30</v>
      </c>
      <c r="S243" s="203">
        <v>0</v>
      </c>
      <c r="T243" s="204">
        <f t="shared" si="86"/>
        <v>0</v>
      </c>
      <c r="U243" s="204">
        <f t="shared" si="87"/>
        <v>0</v>
      </c>
      <c r="V243" s="194"/>
      <c r="W243" s="205"/>
      <c r="X243" s="192"/>
      <c r="Y243" s="224"/>
      <c r="Z243" s="224"/>
      <c r="AA243" s="194"/>
      <c r="AB243" s="224"/>
      <c r="AC243" s="206"/>
      <c r="AD243" s="206">
        <f t="shared" si="53"/>
        <v>7</v>
      </c>
      <c r="AE243" s="209">
        <f t="shared" si="88"/>
        <v>-7</v>
      </c>
      <c r="AF243" s="313"/>
      <c r="AG243" s="197" t="s">
        <v>55</v>
      </c>
      <c r="AH243" s="222">
        <f t="shared" si="55"/>
        <v>0</v>
      </c>
      <c r="AI243" s="210" t="e">
        <f>#REF!+5</f>
        <v>#REF!</v>
      </c>
      <c r="AJ243" s="197" t="s">
        <v>46</v>
      </c>
      <c r="AK243" s="211">
        <f t="shared" si="56"/>
        <v>0</v>
      </c>
      <c r="AL243" s="210">
        <f t="shared" si="82"/>
        <v>60</v>
      </c>
      <c r="AM243" s="197"/>
      <c r="AN243" s="194"/>
      <c r="AO243" s="195"/>
      <c r="AP243" s="195"/>
      <c r="AQ243" s="193"/>
      <c r="AR243" s="193"/>
      <c r="AS243" s="193"/>
      <c r="AT243" s="193"/>
      <c r="AU243" s="193"/>
      <c r="AV243" s="193"/>
      <c r="AW243" s="193"/>
      <c r="AX243" s="193"/>
      <c r="AY243" s="193"/>
      <c r="AZ243" s="193"/>
      <c r="BA243" s="193"/>
      <c r="BB243" s="193"/>
      <c r="BC243" s="375"/>
      <c r="BD243" s="236"/>
    </row>
    <row r="244" spans="1:56" s="213" customFormat="1" ht="24" customHeight="1">
      <c r="A244" s="197"/>
      <c r="B244" s="198"/>
      <c r="C244" s="198"/>
      <c r="D244" s="193"/>
      <c r="E244" s="194"/>
      <c r="F244" s="194"/>
      <c r="G244" s="194"/>
      <c r="H244" s="217"/>
      <c r="I244" s="215"/>
      <c r="J244" s="194"/>
      <c r="K244" s="197"/>
      <c r="L244" s="194"/>
      <c r="M244" s="194"/>
      <c r="N244" s="225"/>
      <c r="O244" s="193"/>
      <c r="P244" s="203">
        <v>0</v>
      </c>
      <c r="Q244" s="204">
        <f t="shared" si="85"/>
        <v>0</v>
      </c>
      <c r="R244" s="204" t="s">
        <v>30</v>
      </c>
      <c r="S244" s="203">
        <v>0</v>
      </c>
      <c r="T244" s="204">
        <f t="shared" si="86"/>
        <v>0</v>
      </c>
      <c r="U244" s="204">
        <f t="shared" si="87"/>
        <v>0</v>
      </c>
      <c r="V244" s="194"/>
      <c r="W244" s="205"/>
      <c r="X244" s="192"/>
      <c r="Y244" s="224"/>
      <c r="Z244" s="224"/>
      <c r="AA244" s="194"/>
      <c r="AB244" s="224"/>
      <c r="AC244" s="206"/>
      <c r="AD244" s="206">
        <f t="shared" si="53"/>
        <v>7</v>
      </c>
      <c r="AE244" s="209">
        <f t="shared" si="88"/>
        <v>-7</v>
      </c>
      <c r="AF244" s="197" t="s">
        <v>57</v>
      </c>
      <c r="AG244" s="197" t="s">
        <v>55</v>
      </c>
      <c r="AH244" s="222">
        <f t="shared" si="55"/>
        <v>0</v>
      </c>
      <c r="AI244" s="210" t="e">
        <f>#REF!+5</f>
        <v>#REF!</v>
      </c>
      <c r="AJ244" s="197" t="s">
        <v>46</v>
      </c>
      <c r="AK244" s="211">
        <f t="shared" si="56"/>
        <v>0</v>
      </c>
      <c r="AL244" s="210">
        <f t="shared" si="82"/>
        <v>60</v>
      </c>
      <c r="AM244" s="197"/>
      <c r="AN244" s="194"/>
      <c r="AO244" s="195"/>
      <c r="AP244" s="195"/>
      <c r="AQ244" s="193"/>
      <c r="AR244" s="193"/>
      <c r="AS244" s="193"/>
      <c r="AT244" s="193"/>
      <c r="AU244" s="193"/>
      <c r="AV244" s="193"/>
      <c r="AW244" s="193"/>
      <c r="AX244" s="193"/>
      <c r="AY244" s="193"/>
      <c r="AZ244" s="193"/>
      <c r="BA244" s="193"/>
      <c r="BB244" s="193"/>
      <c r="BC244" s="375"/>
      <c r="BD244" s="236"/>
    </row>
    <row r="245" spans="1:56" s="213" customFormat="1" ht="24" customHeight="1">
      <c r="A245" s="197"/>
      <c r="B245" s="198"/>
      <c r="C245" s="198"/>
      <c r="D245" s="193"/>
      <c r="E245" s="194"/>
      <c r="F245" s="194"/>
      <c r="G245" s="194"/>
      <c r="H245" s="217"/>
      <c r="I245" s="215"/>
      <c r="J245" s="194"/>
      <c r="K245" s="197"/>
      <c r="L245" s="194"/>
      <c r="M245" s="194"/>
      <c r="N245" s="225"/>
      <c r="O245" s="193"/>
      <c r="P245" s="203">
        <v>0</v>
      </c>
      <c r="Q245" s="204">
        <f t="shared" si="85"/>
        <v>0</v>
      </c>
      <c r="R245" s="204" t="s">
        <v>30</v>
      </c>
      <c r="S245" s="203">
        <v>0</v>
      </c>
      <c r="T245" s="204">
        <f t="shared" si="86"/>
        <v>0</v>
      </c>
      <c r="U245" s="204">
        <f t="shared" si="87"/>
        <v>0</v>
      </c>
      <c r="V245" s="194"/>
      <c r="W245" s="205"/>
      <c r="X245" s="192"/>
      <c r="Y245" s="224"/>
      <c r="Z245" s="224"/>
      <c r="AA245" s="194"/>
      <c r="AB245" s="224"/>
      <c r="AC245" s="206"/>
      <c r="AD245" s="206">
        <f t="shared" si="53"/>
        <v>7</v>
      </c>
      <c r="AE245" s="209">
        <f t="shared" si="88"/>
        <v>-7</v>
      </c>
      <c r="AF245" s="197" t="s">
        <v>57</v>
      </c>
      <c r="AG245" s="197" t="s">
        <v>55</v>
      </c>
      <c r="AH245" s="222">
        <f t="shared" si="55"/>
        <v>0</v>
      </c>
      <c r="AI245" s="210" t="e">
        <f>#REF!+5</f>
        <v>#REF!</v>
      </c>
      <c r="AJ245" s="197" t="s">
        <v>46</v>
      </c>
      <c r="AK245" s="211">
        <f t="shared" si="56"/>
        <v>0</v>
      </c>
      <c r="AL245" s="210">
        <f t="shared" si="82"/>
        <v>60</v>
      </c>
      <c r="AM245" s="197"/>
      <c r="AN245" s="194"/>
      <c r="AO245" s="195"/>
      <c r="AP245" s="195"/>
      <c r="AQ245" s="193"/>
      <c r="AR245" s="193"/>
      <c r="AS245" s="193"/>
      <c r="AT245" s="193"/>
      <c r="AU245" s="193"/>
      <c r="AV245" s="193"/>
      <c r="AW245" s="193"/>
      <c r="AX245" s="193"/>
      <c r="AY245" s="193"/>
      <c r="AZ245" s="193"/>
      <c r="BA245" s="193"/>
      <c r="BB245" s="193"/>
      <c r="BC245" s="375"/>
      <c r="BD245" s="236"/>
    </row>
    <row r="246" spans="1:56" s="213" customFormat="1" ht="24" customHeight="1">
      <c r="A246" s="197"/>
      <c r="B246" s="198"/>
      <c r="C246" s="198"/>
      <c r="D246" s="193"/>
      <c r="E246" s="194"/>
      <c r="F246" s="194"/>
      <c r="G246" s="194"/>
      <c r="H246" s="217"/>
      <c r="I246" s="215"/>
      <c r="J246" s="194"/>
      <c r="K246" s="197"/>
      <c r="L246" s="194"/>
      <c r="M246" s="194"/>
      <c r="N246" s="225"/>
      <c r="O246" s="193"/>
      <c r="P246" s="203">
        <v>0</v>
      </c>
      <c r="Q246" s="204">
        <f t="shared" si="85"/>
        <v>0</v>
      </c>
      <c r="R246" s="204" t="s">
        <v>30</v>
      </c>
      <c r="S246" s="203">
        <v>0</v>
      </c>
      <c r="T246" s="204">
        <f t="shared" ref="T246:T258" si="89">M246*S246</f>
        <v>0</v>
      </c>
      <c r="U246" s="204">
        <f t="shared" ref="U246:U258" si="90">P246-S246</f>
        <v>0</v>
      </c>
      <c r="V246" s="194"/>
      <c r="W246" s="205"/>
      <c r="X246" s="192"/>
      <c r="Y246" s="224"/>
      <c r="Z246" s="224"/>
      <c r="AA246" s="194"/>
      <c r="AB246" s="224"/>
      <c r="AC246" s="206"/>
      <c r="AD246" s="206">
        <f t="shared" si="53"/>
        <v>7</v>
      </c>
      <c r="AE246" s="209">
        <f t="shared" ref="AE246:AE257" si="91">AC246-AD246</f>
        <v>-7</v>
      </c>
      <c r="AF246" s="197" t="s">
        <v>57</v>
      </c>
      <c r="AG246" s="197" t="s">
        <v>55</v>
      </c>
      <c r="AH246" s="222">
        <f t="shared" si="55"/>
        <v>0</v>
      </c>
      <c r="AI246" s="210" t="e">
        <f>#REF!+5</f>
        <v>#REF!</v>
      </c>
      <c r="AJ246" s="197" t="s">
        <v>46</v>
      </c>
      <c r="AK246" s="211">
        <f t="shared" si="56"/>
        <v>0</v>
      </c>
      <c r="AL246" s="210">
        <f t="shared" si="82"/>
        <v>60</v>
      </c>
      <c r="AM246" s="197"/>
      <c r="AN246" s="194"/>
      <c r="AO246" s="195"/>
      <c r="AP246" s="195"/>
      <c r="AQ246" s="193"/>
      <c r="AR246" s="193"/>
      <c r="AS246" s="193"/>
      <c r="AT246" s="193"/>
      <c r="AU246" s="193"/>
      <c r="AV246" s="193"/>
      <c r="AW246" s="193"/>
      <c r="AX246" s="193"/>
      <c r="AY246" s="193"/>
      <c r="AZ246" s="193"/>
      <c r="BA246" s="193"/>
      <c r="BB246" s="193"/>
      <c r="BC246" s="375"/>
      <c r="BD246" s="236"/>
    </row>
    <row r="247" spans="1:56" s="213" customFormat="1" ht="24" customHeight="1">
      <c r="A247" s="197"/>
      <c r="B247" s="198"/>
      <c r="C247" s="198"/>
      <c r="D247" s="193"/>
      <c r="E247" s="194"/>
      <c r="F247" s="194"/>
      <c r="G247" s="194"/>
      <c r="H247" s="246"/>
      <c r="I247" s="246"/>
      <c r="J247" s="194"/>
      <c r="K247" s="197"/>
      <c r="L247" s="194"/>
      <c r="M247" s="194"/>
      <c r="N247" s="225"/>
      <c r="O247" s="193"/>
      <c r="P247" s="203">
        <v>0</v>
      </c>
      <c r="Q247" s="204">
        <f t="shared" si="85"/>
        <v>0</v>
      </c>
      <c r="R247" s="204" t="s">
        <v>30</v>
      </c>
      <c r="S247" s="203">
        <v>0</v>
      </c>
      <c r="T247" s="204">
        <f t="shared" si="89"/>
        <v>0</v>
      </c>
      <c r="U247" s="204">
        <f t="shared" si="90"/>
        <v>0</v>
      </c>
      <c r="V247" s="194"/>
      <c r="W247" s="205"/>
      <c r="X247" s="192"/>
      <c r="Y247" s="224"/>
      <c r="Z247" s="224"/>
      <c r="AA247" s="226"/>
      <c r="AB247" s="224"/>
      <c r="AC247" s="206"/>
      <c r="AD247" s="206">
        <f t="shared" si="53"/>
        <v>7</v>
      </c>
      <c r="AE247" s="209">
        <f t="shared" si="91"/>
        <v>-7</v>
      </c>
      <c r="AF247" s="197" t="s">
        <v>51</v>
      </c>
      <c r="AG247" s="197" t="s">
        <v>47</v>
      </c>
      <c r="AH247" s="222">
        <f t="shared" si="55"/>
        <v>0</v>
      </c>
      <c r="AI247" s="210" t="e">
        <f>#REF!+5</f>
        <v>#REF!</v>
      </c>
      <c r="AJ247" s="197" t="s">
        <v>46</v>
      </c>
      <c r="AK247" s="211">
        <f t="shared" si="56"/>
        <v>0</v>
      </c>
      <c r="AL247" s="210">
        <f t="shared" si="82"/>
        <v>60</v>
      </c>
      <c r="AM247" s="197"/>
      <c r="AN247" s="194"/>
      <c r="AO247" s="195"/>
      <c r="AP247" s="195"/>
      <c r="AQ247" s="193"/>
      <c r="AR247" s="193"/>
      <c r="AS247" s="193"/>
      <c r="AT247" s="193"/>
      <c r="AU247" s="193"/>
      <c r="AV247" s="193"/>
      <c r="AW247" s="193"/>
      <c r="AX247" s="193"/>
      <c r="AY247" s="193"/>
      <c r="AZ247" s="193"/>
      <c r="BA247" s="193"/>
      <c r="BB247" s="193"/>
    </row>
    <row r="248" spans="1:56" s="213" customFormat="1" ht="24" customHeight="1">
      <c r="A248" s="197"/>
      <c r="B248" s="198"/>
      <c r="C248" s="198"/>
      <c r="D248" s="193"/>
      <c r="E248" s="194"/>
      <c r="F248" s="194"/>
      <c r="G248" s="194"/>
      <c r="H248" s="246"/>
      <c r="I248" s="246"/>
      <c r="J248" s="194"/>
      <c r="K248" s="197"/>
      <c r="L248" s="194"/>
      <c r="M248" s="194"/>
      <c r="N248" s="225"/>
      <c r="O248" s="193"/>
      <c r="P248" s="203">
        <v>0</v>
      </c>
      <c r="Q248" s="204">
        <f t="shared" si="85"/>
        <v>0</v>
      </c>
      <c r="R248" s="204" t="s">
        <v>30</v>
      </c>
      <c r="S248" s="203">
        <v>0</v>
      </c>
      <c r="T248" s="204">
        <f t="shared" si="89"/>
        <v>0</v>
      </c>
      <c r="U248" s="204">
        <f t="shared" si="90"/>
        <v>0</v>
      </c>
      <c r="V248" s="194"/>
      <c r="W248" s="205"/>
      <c r="X248" s="192"/>
      <c r="Y248" s="224"/>
      <c r="Z248" s="224"/>
      <c r="AA248" s="226"/>
      <c r="AB248" s="224"/>
      <c r="AC248" s="206"/>
      <c r="AD248" s="206">
        <f t="shared" si="53"/>
        <v>7</v>
      </c>
      <c r="AE248" s="209">
        <f t="shared" si="91"/>
        <v>-7</v>
      </c>
      <c r="AF248" s="197" t="s">
        <v>51</v>
      </c>
      <c r="AG248" s="197" t="s">
        <v>47</v>
      </c>
      <c r="AH248" s="222">
        <f t="shared" si="55"/>
        <v>0</v>
      </c>
      <c r="AI248" s="210" t="e">
        <f>#REF!+5</f>
        <v>#REF!</v>
      </c>
      <c r="AJ248" s="197" t="s">
        <v>46</v>
      </c>
      <c r="AK248" s="211">
        <f t="shared" si="56"/>
        <v>0</v>
      </c>
      <c r="AL248" s="210">
        <f t="shared" si="82"/>
        <v>60</v>
      </c>
      <c r="AM248" s="197"/>
      <c r="AN248" s="194"/>
      <c r="AO248" s="195"/>
      <c r="AP248" s="195"/>
      <c r="AQ248" s="193"/>
      <c r="AR248" s="193"/>
      <c r="AS248" s="193"/>
      <c r="AT248" s="193"/>
      <c r="AU248" s="193"/>
      <c r="AV248" s="193"/>
      <c r="AW248" s="193"/>
      <c r="AX248" s="193"/>
      <c r="AY248" s="193"/>
      <c r="AZ248" s="193"/>
      <c r="BA248" s="193"/>
      <c r="BB248" s="193"/>
    </row>
    <row r="249" spans="1:56" s="213" customFormat="1" ht="24" customHeight="1">
      <c r="A249" s="197"/>
      <c r="B249" s="198"/>
      <c r="C249" s="198"/>
      <c r="D249" s="193"/>
      <c r="E249" s="247"/>
      <c r="F249" s="194"/>
      <c r="G249" s="247"/>
      <c r="H249" s="246"/>
      <c r="I249" s="246"/>
      <c r="J249" s="194"/>
      <c r="K249" s="197"/>
      <c r="L249" s="194"/>
      <c r="M249" s="194"/>
      <c r="N249" s="194"/>
      <c r="O249" s="193"/>
      <c r="P249" s="203">
        <v>0</v>
      </c>
      <c r="Q249" s="204">
        <f t="shared" si="85"/>
        <v>0</v>
      </c>
      <c r="R249" s="204" t="s">
        <v>30</v>
      </c>
      <c r="S249" s="203">
        <v>0</v>
      </c>
      <c r="T249" s="204">
        <f t="shared" si="89"/>
        <v>0</v>
      </c>
      <c r="U249" s="204">
        <f t="shared" si="90"/>
        <v>0</v>
      </c>
      <c r="V249" s="194"/>
      <c r="W249" s="205"/>
      <c r="X249" s="192"/>
      <c r="Y249" s="224"/>
      <c r="Z249" s="224"/>
      <c r="AA249" s="226"/>
      <c r="AB249" s="224"/>
      <c r="AC249" s="206"/>
      <c r="AD249" s="206">
        <f t="shared" si="53"/>
        <v>7</v>
      </c>
      <c r="AE249" s="209">
        <f t="shared" si="91"/>
        <v>-7</v>
      </c>
      <c r="AF249" s="197" t="s">
        <v>51</v>
      </c>
      <c r="AG249" s="197" t="s">
        <v>47</v>
      </c>
      <c r="AH249" s="222">
        <f t="shared" si="55"/>
        <v>0</v>
      </c>
      <c r="AI249" s="210" t="e">
        <f>#REF!+5</f>
        <v>#REF!</v>
      </c>
      <c r="AJ249" s="197" t="s">
        <v>46</v>
      </c>
      <c r="AK249" s="211">
        <f t="shared" si="56"/>
        <v>0</v>
      </c>
      <c r="AL249" s="210">
        <f t="shared" si="82"/>
        <v>60</v>
      </c>
      <c r="AM249" s="197"/>
      <c r="AN249" s="194"/>
      <c r="AO249" s="195"/>
      <c r="AP249" s="195"/>
      <c r="AQ249" s="193"/>
      <c r="AR249" s="193"/>
      <c r="AS249" s="193"/>
      <c r="AT249" s="193"/>
      <c r="AU249" s="193"/>
      <c r="AV249" s="193"/>
      <c r="AW249" s="193"/>
      <c r="AX249" s="193"/>
      <c r="AY249" s="193"/>
      <c r="AZ249" s="193"/>
      <c r="BA249" s="193"/>
      <c r="BB249" s="193"/>
    </row>
    <row r="250" spans="1:56" s="213" customFormat="1" ht="24" customHeight="1">
      <c r="A250" s="197"/>
      <c r="B250" s="198"/>
      <c r="C250" s="198"/>
      <c r="D250" s="193"/>
      <c r="E250" s="247"/>
      <c r="F250" s="194"/>
      <c r="G250" s="247"/>
      <c r="H250" s="246"/>
      <c r="I250" s="246"/>
      <c r="J250" s="194"/>
      <c r="K250" s="197"/>
      <c r="L250" s="194"/>
      <c r="M250" s="194"/>
      <c r="N250" s="194"/>
      <c r="O250" s="193"/>
      <c r="P250" s="203">
        <v>0</v>
      </c>
      <c r="Q250" s="204">
        <f t="shared" ref="Q250" si="92">M250*P250</f>
        <v>0</v>
      </c>
      <c r="R250" s="204" t="s">
        <v>30</v>
      </c>
      <c r="S250" s="203">
        <v>0</v>
      </c>
      <c r="T250" s="204">
        <f t="shared" ref="T250" si="93">M250*S250</f>
        <v>0</v>
      </c>
      <c r="U250" s="204">
        <f t="shared" ref="U250" si="94">P250-S250</f>
        <v>0</v>
      </c>
      <c r="V250" s="194"/>
      <c r="W250" s="205"/>
      <c r="X250" s="192"/>
      <c r="Y250" s="224"/>
      <c r="Z250" s="224"/>
      <c r="AA250" s="226"/>
      <c r="AB250" s="224"/>
      <c r="AC250" s="206"/>
      <c r="AD250" s="206">
        <f t="shared" ref="AD250" si="95">Y250+7</f>
        <v>7</v>
      </c>
      <c r="AE250" s="209">
        <f t="shared" si="91"/>
        <v>-7</v>
      </c>
      <c r="AF250" s="197" t="s">
        <v>51</v>
      </c>
      <c r="AG250" s="197" t="s">
        <v>47</v>
      </c>
      <c r="AH250" s="222">
        <f t="shared" si="55"/>
        <v>0</v>
      </c>
      <c r="AI250" s="210" t="e">
        <f>#REF!+5</f>
        <v>#REF!</v>
      </c>
      <c r="AJ250" s="197" t="s">
        <v>46</v>
      </c>
      <c r="AK250" s="211">
        <f t="shared" si="56"/>
        <v>0</v>
      </c>
      <c r="AL250" s="210">
        <f t="shared" si="82"/>
        <v>60</v>
      </c>
      <c r="AM250" s="197"/>
      <c r="AN250" s="194"/>
      <c r="AO250" s="195"/>
      <c r="AP250" s="195"/>
      <c r="AQ250" s="193"/>
      <c r="AR250" s="193"/>
      <c r="AS250" s="193"/>
      <c r="AT250" s="193"/>
      <c r="AU250" s="193"/>
      <c r="AV250" s="193"/>
      <c r="AW250" s="193"/>
      <c r="AX250" s="193"/>
      <c r="AY250" s="193"/>
      <c r="AZ250" s="193"/>
      <c r="BA250" s="193"/>
      <c r="BB250" s="193"/>
    </row>
    <row r="251" spans="1:56" s="213" customFormat="1" ht="24" customHeight="1">
      <c r="A251" s="197"/>
      <c r="B251" s="198"/>
      <c r="C251" s="198"/>
      <c r="D251" s="193"/>
      <c r="E251" s="247"/>
      <c r="F251" s="194"/>
      <c r="G251" s="247"/>
      <c r="H251" s="246"/>
      <c r="I251" s="246"/>
      <c r="J251" s="194"/>
      <c r="K251" s="197"/>
      <c r="L251" s="194"/>
      <c r="M251" s="194"/>
      <c r="N251" s="194"/>
      <c r="O251" s="193"/>
      <c r="P251" s="203">
        <v>0</v>
      </c>
      <c r="Q251" s="204">
        <f t="shared" ref="Q251" si="96">M251*P251</f>
        <v>0</v>
      </c>
      <c r="R251" s="204" t="s">
        <v>30</v>
      </c>
      <c r="S251" s="203">
        <v>0</v>
      </c>
      <c r="T251" s="204">
        <f t="shared" ref="T251" si="97">M251*S251</f>
        <v>0</v>
      </c>
      <c r="U251" s="204">
        <f t="shared" ref="U251" si="98">P251-S251</f>
        <v>0</v>
      </c>
      <c r="V251" s="194"/>
      <c r="W251" s="205"/>
      <c r="X251" s="192"/>
      <c r="Y251" s="224"/>
      <c r="Z251" s="224"/>
      <c r="AA251" s="226"/>
      <c r="AB251" s="224"/>
      <c r="AC251" s="206"/>
      <c r="AD251" s="206">
        <f t="shared" ref="AD251" si="99">Y251+7</f>
        <v>7</v>
      </c>
      <c r="AE251" s="209">
        <f t="shared" ref="AE251:AE254" si="100">AC251-AD251</f>
        <v>-7</v>
      </c>
      <c r="AF251" s="197" t="s">
        <v>50</v>
      </c>
      <c r="AG251" s="197" t="s">
        <v>49</v>
      </c>
      <c r="AH251" s="222">
        <f t="shared" si="55"/>
        <v>0</v>
      </c>
      <c r="AI251" s="210" t="e">
        <f>#REF!+5</f>
        <v>#REF!</v>
      </c>
      <c r="AJ251" s="197" t="s">
        <v>46</v>
      </c>
      <c r="AK251" s="211">
        <f t="shared" si="56"/>
        <v>0</v>
      </c>
      <c r="AL251" s="210">
        <f t="shared" si="82"/>
        <v>60</v>
      </c>
      <c r="AM251" s="197"/>
      <c r="AN251" s="194"/>
      <c r="AO251" s="194"/>
      <c r="AP251" s="194"/>
      <c r="AQ251" s="193"/>
      <c r="AR251" s="193"/>
      <c r="AS251" s="193"/>
      <c r="AT251" s="193"/>
      <c r="AU251" s="193"/>
      <c r="AV251" s="193"/>
      <c r="AW251" s="193"/>
      <c r="AX251" s="193"/>
      <c r="AY251" s="193"/>
      <c r="AZ251" s="193"/>
      <c r="BA251" s="193"/>
      <c r="BB251" s="193"/>
    </row>
    <row r="252" spans="1:56" s="213" customFormat="1" ht="24" customHeight="1">
      <c r="A252" s="197"/>
      <c r="B252" s="198"/>
      <c r="C252" s="198"/>
      <c r="D252" s="193"/>
      <c r="E252" s="247"/>
      <c r="F252" s="194"/>
      <c r="G252" s="247"/>
      <c r="H252" s="215"/>
      <c r="I252" s="215"/>
      <c r="J252" s="194"/>
      <c r="K252" s="197"/>
      <c r="L252" s="194"/>
      <c r="M252" s="194"/>
      <c r="N252" s="194"/>
      <c r="O252" s="193"/>
      <c r="P252" s="203">
        <v>0</v>
      </c>
      <c r="Q252" s="203">
        <f t="shared" si="85"/>
        <v>0</v>
      </c>
      <c r="R252" s="204" t="s">
        <v>30</v>
      </c>
      <c r="S252" s="203">
        <v>0</v>
      </c>
      <c r="T252" s="204">
        <f t="shared" si="89"/>
        <v>0</v>
      </c>
      <c r="U252" s="204">
        <f t="shared" si="90"/>
        <v>0</v>
      </c>
      <c r="V252" s="194"/>
      <c r="W252" s="205"/>
      <c r="X252" s="192"/>
      <c r="Y252" s="224"/>
      <c r="Z252" s="224"/>
      <c r="AA252" s="226"/>
      <c r="AB252" s="224"/>
      <c r="AC252" s="206"/>
      <c r="AD252" s="206">
        <f t="shared" si="53"/>
        <v>7</v>
      </c>
      <c r="AE252" s="209">
        <f t="shared" si="100"/>
        <v>-7</v>
      </c>
      <c r="AF252" s="197" t="s">
        <v>51</v>
      </c>
      <c r="AG252" s="197" t="s">
        <v>58</v>
      </c>
      <c r="AH252" s="202">
        <f t="shared" si="55"/>
        <v>0</v>
      </c>
      <c r="AI252" s="210" t="e">
        <f>#REF!+5</f>
        <v>#REF!</v>
      </c>
      <c r="AJ252" s="197" t="s">
        <v>46</v>
      </c>
      <c r="AK252" s="211">
        <f t="shared" si="56"/>
        <v>0</v>
      </c>
      <c r="AL252" s="210">
        <f>Y252+90</f>
        <v>90</v>
      </c>
      <c r="AM252" s="197"/>
      <c r="AN252" s="194"/>
      <c r="AO252" s="195"/>
      <c r="AP252" s="195"/>
      <c r="AQ252" s="193"/>
      <c r="AR252" s="193"/>
      <c r="AS252" s="193"/>
      <c r="AT252" s="193"/>
      <c r="AU252" s="193"/>
      <c r="AV252" s="193"/>
      <c r="AW252" s="193"/>
      <c r="AX252" s="193"/>
      <c r="AY252" s="193"/>
      <c r="AZ252" s="193"/>
      <c r="BA252" s="193"/>
      <c r="BB252" s="193"/>
    </row>
    <row r="253" spans="1:56" s="213" customFormat="1" ht="24" customHeight="1">
      <c r="A253" s="197"/>
      <c r="B253" s="198"/>
      <c r="C253" s="198"/>
      <c r="D253" s="193"/>
      <c r="E253" s="247"/>
      <c r="F253" s="194"/>
      <c r="G253" s="247"/>
      <c r="H253" s="215"/>
      <c r="I253" s="215"/>
      <c r="J253" s="194"/>
      <c r="K253" s="197"/>
      <c r="L253" s="194"/>
      <c r="M253" s="194"/>
      <c r="N253" s="194"/>
      <c r="O253" s="193"/>
      <c r="P253" s="203">
        <v>0</v>
      </c>
      <c r="Q253" s="203">
        <f>M253*P253</f>
        <v>0</v>
      </c>
      <c r="R253" s="204" t="s">
        <v>30</v>
      </c>
      <c r="S253" s="203">
        <v>0</v>
      </c>
      <c r="T253" s="204">
        <f>M253*S253</f>
        <v>0</v>
      </c>
      <c r="U253" s="204">
        <f>P253-S253</f>
        <v>0</v>
      </c>
      <c r="V253" s="194"/>
      <c r="W253" s="205"/>
      <c r="X253" s="192"/>
      <c r="Y253" s="224"/>
      <c r="Z253" s="224"/>
      <c r="AA253" s="226"/>
      <c r="AB253" s="224"/>
      <c r="AC253" s="206"/>
      <c r="AD253" s="206">
        <f t="shared" si="53"/>
        <v>7</v>
      </c>
      <c r="AE253" s="209">
        <f t="shared" si="100"/>
        <v>-7</v>
      </c>
      <c r="AF253" s="197" t="s">
        <v>51</v>
      </c>
      <c r="AG253" s="197" t="s">
        <v>58</v>
      </c>
      <c r="AH253" s="202">
        <f t="shared" si="55"/>
        <v>0</v>
      </c>
      <c r="AI253" s="210" t="e">
        <f>#REF!+5</f>
        <v>#REF!</v>
      </c>
      <c r="AJ253" s="197" t="s">
        <v>46</v>
      </c>
      <c r="AK253" s="211">
        <f t="shared" si="56"/>
        <v>0</v>
      </c>
      <c r="AL253" s="210">
        <f>Y253+90</f>
        <v>90</v>
      </c>
      <c r="AM253" s="197"/>
      <c r="AN253" s="194"/>
      <c r="AO253" s="195"/>
      <c r="AP253" s="195"/>
      <c r="AQ253" s="193"/>
      <c r="AR253" s="193"/>
      <c r="AS253" s="193"/>
      <c r="AT253" s="193"/>
      <c r="AU253" s="193"/>
      <c r="AV253" s="193"/>
      <c r="AW253" s="193"/>
      <c r="AX253" s="193"/>
      <c r="AY253" s="193"/>
      <c r="AZ253" s="193"/>
      <c r="BA253" s="193"/>
      <c r="BB253" s="193"/>
    </row>
    <row r="254" spans="1:56" s="213" customFormat="1" ht="24" customHeight="1">
      <c r="A254" s="197"/>
      <c r="B254" s="198"/>
      <c r="C254" s="198"/>
      <c r="D254" s="193"/>
      <c r="E254" s="247"/>
      <c r="F254" s="194"/>
      <c r="G254" s="247"/>
      <c r="H254" s="215"/>
      <c r="I254" s="215"/>
      <c r="J254" s="194"/>
      <c r="K254" s="197"/>
      <c r="L254" s="194"/>
      <c r="M254" s="194"/>
      <c r="N254" s="194"/>
      <c r="O254" s="193"/>
      <c r="P254" s="203">
        <v>0</v>
      </c>
      <c r="Q254" s="203">
        <f t="shared" si="85"/>
        <v>0</v>
      </c>
      <c r="R254" s="203" t="s">
        <v>30</v>
      </c>
      <c r="S254" s="203">
        <v>0</v>
      </c>
      <c r="T254" s="204">
        <f t="shared" si="89"/>
        <v>0</v>
      </c>
      <c r="U254" s="204">
        <f t="shared" si="90"/>
        <v>0</v>
      </c>
      <c r="V254" s="194"/>
      <c r="W254" s="205"/>
      <c r="X254" s="192"/>
      <c r="Y254" s="224"/>
      <c r="Z254" s="224"/>
      <c r="AA254" s="226"/>
      <c r="AB254" s="224"/>
      <c r="AC254" s="206"/>
      <c r="AD254" s="206">
        <f t="shared" si="53"/>
        <v>7</v>
      </c>
      <c r="AE254" s="209">
        <f t="shared" si="100"/>
        <v>-7</v>
      </c>
      <c r="AF254" s="197" t="s">
        <v>51</v>
      </c>
      <c r="AG254" s="197" t="s">
        <v>58</v>
      </c>
      <c r="AH254" s="222">
        <f t="shared" si="55"/>
        <v>0</v>
      </c>
      <c r="AI254" s="210" t="e">
        <f>#REF!+5</f>
        <v>#REF!</v>
      </c>
      <c r="AJ254" s="197" t="s">
        <v>46</v>
      </c>
      <c r="AK254" s="211">
        <f t="shared" si="56"/>
        <v>0</v>
      </c>
      <c r="AL254" s="210">
        <f t="shared" ref="AL254:AL263" si="101">Y254+60</f>
        <v>60</v>
      </c>
      <c r="AM254" s="197"/>
      <c r="AN254" s="194"/>
      <c r="AO254" s="195"/>
      <c r="AP254" s="195"/>
      <c r="AQ254" s="193"/>
      <c r="AR254" s="193"/>
      <c r="AS254" s="193"/>
      <c r="AT254" s="193"/>
      <c r="AU254" s="193"/>
      <c r="AV254" s="193"/>
      <c r="AW254" s="193"/>
      <c r="AX254" s="193"/>
      <c r="AY254" s="193"/>
      <c r="AZ254" s="193"/>
      <c r="BA254" s="193"/>
      <c r="BB254" s="193"/>
    </row>
    <row r="255" spans="1:56" s="213" customFormat="1" ht="24" customHeight="1">
      <c r="A255" s="197"/>
      <c r="B255" s="198"/>
      <c r="C255" s="198"/>
      <c r="D255" s="193"/>
      <c r="E255" s="247"/>
      <c r="F255" s="194"/>
      <c r="G255" s="247"/>
      <c r="H255" s="215"/>
      <c r="I255" s="215"/>
      <c r="J255" s="194"/>
      <c r="K255" s="197"/>
      <c r="L255" s="194"/>
      <c r="M255" s="248"/>
      <c r="N255" s="194"/>
      <c r="O255" s="193"/>
      <c r="P255" s="203">
        <v>0</v>
      </c>
      <c r="Q255" s="203">
        <f t="shared" si="85"/>
        <v>0</v>
      </c>
      <c r="R255" s="203" t="s">
        <v>30</v>
      </c>
      <c r="S255" s="203">
        <v>0</v>
      </c>
      <c r="T255" s="204">
        <f t="shared" si="89"/>
        <v>0</v>
      </c>
      <c r="U255" s="204">
        <f t="shared" si="90"/>
        <v>0</v>
      </c>
      <c r="V255" s="194"/>
      <c r="W255" s="205"/>
      <c r="X255" s="192"/>
      <c r="Y255" s="206"/>
      <c r="Z255" s="207"/>
      <c r="AA255" s="226"/>
      <c r="AB255" s="224"/>
      <c r="AC255" s="206"/>
      <c r="AD255" s="206">
        <f t="shared" ref="AD255:AD293" si="102">Y255+7</f>
        <v>7</v>
      </c>
      <c r="AE255" s="209">
        <f t="shared" si="91"/>
        <v>-7</v>
      </c>
      <c r="AF255" s="197" t="s">
        <v>51</v>
      </c>
      <c r="AG255" s="197" t="s">
        <v>59</v>
      </c>
      <c r="AH255" s="222">
        <f t="shared" si="55"/>
        <v>0</v>
      </c>
      <c r="AI255" s="210" t="e">
        <f>#REF!+5</f>
        <v>#REF!</v>
      </c>
      <c r="AJ255" s="197" t="s">
        <v>46</v>
      </c>
      <c r="AK255" s="211">
        <f t="shared" si="56"/>
        <v>0</v>
      </c>
      <c r="AL255" s="210">
        <f t="shared" si="101"/>
        <v>60</v>
      </c>
      <c r="AM255" s="197"/>
      <c r="AN255" s="194"/>
      <c r="AO255" s="195"/>
      <c r="AP255" s="195"/>
      <c r="AQ255" s="193"/>
      <c r="AR255" s="193"/>
      <c r="AS255" s="193"/>
      <c r="AT255" s="193"/>
      <c r="AU255" s="193"/>
      <c r="AV255" s="193"/>
      <c r="AW255" s="193"/>
      <c r="AX255" s="193"/>
      <c r="AY255" s="193"/>
      <c r="AZ255" s="193"/>
      <c r="BA255" s="193"/>
      <c r="BB255" s="193"/>
      <c r="BC255" s="375"/>
      <c r="BD255" s="236"/>
    </row>
    <row r="256" spans="1:56" s="213" customFormat="1" ht="24" customHeight="1">
      <c r="A256" s="197"/>
      <c r="B256" s="198"/>
      <c r="C256" s="198"/>
      <c r="D256" s="193"/>
      <c r="E256" s="247"/>
      <c r="F256" s="194"/>
      <c r="G256" s="247"/>
      <c r="H256" s="215"/>
      <c r="I256" s="215"/>
      <c r="J256" s="194"/>
      <c r="K256" s="197"/>
      <c r="L256" s="194"/>
      <c r="M256" s="194"/>
      <c r="N256" s="194"/>
      <c r="O256" s="193"/>
      <c r="P256" s="203">
        <v>0</v>
      </c>
      <c r="Q256" s="203">
        <f t="shared" si="85"/>
        <v>0</v>
      </c>
      <c r="R256" s="203" t="s">
        <v>30</v>
      </c>
      <c r="S256" s="203">
        <v>0</v>
      </c>
      <c r="T256" s="204">
        <f t="shared" si="89"/>
        <v>0</v>
      </c>
      <c r="U256" s="204">
        <f t="shared" si="90"/>
        <v>0</v>
      </c>
      <c r="V256" s="194"/>
      <c r="W256" s="205"/>
      <c r="X256" s="192"/>
      <c r="Y256" s="206"/>
      <c r="Z256" s="207"/>
      <c r="AA256" s="226"/>
      <c r="AB256" s="224"/>
      <c r="AC256" s="207"/>
      <c r="AD256" s="206">
        <f t="shared" si="102"/>
        <v>7</v>
      </c>
      <c r="AE256" s="209">
        <f t="shared" si="91"/>
        <v>-7</v>
      </c>
      <c r="AF256" s="197" t="s">
        <v>51</v>
      </c>
      <c r="AG256" s="197" t="s">
        <v>48</v>
      </c>
      <c r="AH256" s="222">
        <f t="shared" si="55"/>
        <v>0</v>
      </c>
      <c r="AI256" s="210" t="e">
        <f>#REF!+5</f>
        <v>#REF!</v>
      </c>
      <c r="AJ256" s="197" t="s">
        <v>46</v>
      </c>
      <c r="AK256" s="211">
        <f t="shared" si="56"/>
        <v>0</v>
      </c>
      <c r="AL256" s="210">
        <f t="shared" si="101"/>
        <v>60</v>
      </c>
      <c r="AM256" s="192" t="s">
        <v>56</v>
      </c>
      <c r="AN256" s="194"/>
      <c r="AO256" s="195"/>
      <c r="AP256" s="195"/>
      <c r="AQ256" s="193"/>
      <c r="AR256" s="193"/>
      <c r="AS256" s="193"/>
      <c r="AT256" s="193"/>
      <c r="AU256" s="193"/>
      <c r="AV256" s="193"/>
      <c r="AW256" s="193"/>
      <c r="AX256" s="193"/>
      <c r="AY256" s="193"/>
      <c r="AZ256" s="193"/>
      <c r="BA256" s="193"/>
      <c r="BB256" s="193"/>
      <c r="BC256" s="375"/>
      <c r="BD256" s="236"/>
    </row>
    <row r="257" spans="1:56" s="213" customFormat="1" ht="24" customHeight="1">
      <c r="A257" s="197"/>
      <c r="B257" s="198"/>
      <c r="C257" s="198"/>
      <c r="D257" s="193"/>
      <c r="E257" s="247"/>
      <c r="F257" s="194"/>
      <c r="G257" s="247"/>
      <c r="H257" s="215"/>
      <c r="I257" s="215"/>
      <c r="J257" s="194"/>
      <c r="K257" s="197"/>
      <c r="L257" s="194"/>
      <c r="M257" s="194"/>
      <c r="N257" s="194"/>
      <c r="O257" s="193"/>
      <c r="P257" s="203">
        <v>0</v>
      </c>
      <c r="Q257" s="203">
        <f t="shared" si="85"/>
        <v>0</v>
      </c>
      <c r="R257" s="203" t="s">
        <v>30</v>
      </c>
      <c r="S257" s="203">
        <v>0</v>
      </c>
      <c r="T257" s="204">
        <f t="shared" si="89"/>
        <v>0</v>
      </c>
      <c r="U257" s="204">
        <f t="shared" si="90"/>
        <v>0</v>
      </c>
      <c r="V257" s="194"/>
      <c r="W257" s="205"/>
      <c r="X257" s="192"/>
      <c r="Y257" s="206"/>
      <c r="Z257" s="207"/>
      <c r="AA257" s="226"/>
      <c r="AB257" s="224"/>
      <c r="AC257" s="207"/>
      <c r="AD257" s="206">
        <f t="shared" si="102"/>
        <v>7</v>
      </c>
      <c r="AE257" s="209">
        <f t="shared" si="91"/>
        <v>-7</v>
      </c>
      <c r="AF257" s="197" t="s">
        <v>51</v>
      </c>
      <c r="AG257" s="197" t="s">
        <v>48</v>
      </c>
      <c r="AH257" s="222">
        <f t="shared" si="55"/>
        <v>0</v>
      </c>
      <c r="AI257" s="210" t="e">
        <f>#REF!+5</f>
        <v>#REF!</v>
      </c>
      <c r="AJ257" s="197" t="s">
        <v>46</v>
      </c>
      <c r="AK257" s="211">
        <f t="shared" si="56"/>
        <v>0</v>
      </c>
      <c r="AL257" s="210">
        <f t="shared" si="101"/>
        <v>60</v>
      </c>
      <c r="AM257" s="192" t="s">
        <v>56</v>
      </c>
      <c r="AN257" s="194"/>
      <c r="AO257" s="195"/>
      <c r="AP257" s="195"/>
      <c r="AQ257" s="193"/>
      <c r="AR257" s="193"/>
      <c r="AS257" s="193"/>
      <c r="AT257" s="193"/>
      <c r="AU257" s="193"/>
      <c r="AV257" s="193"/>
      <c r="AW257" s="193"/>
      <c r="AX257" s="193"/>
      <c r="AY257" s="193"/>
      <c r="AZ257" s="193"/>
      <c r="BA257" s="193"/>
      <c r="BB257" s="193"/>
      <c r="BC257" s="375"/>
      <c r="BD257" s="236"/>
    </row>
    <row r="258" spans="1:56" s="213" customFormat="1" ht="24" customHeight="1">
      <c r="A258" s="197"/>
      <c r="B258" s="198"/>
      <c r="C258" s="194"/>
      <c r="D258" s="193"/>
      <c r="E258" s="247"/>
      <c r="F258" s="194"/>
      <c r="G258" s="247"/>
      <c r="H258" s="215"/>
      <c r="I258" s="215"/>
      <c r="J258" s="194"/>
      <c r="K258" s="197"/>
      <c r="L258" s="194"/>
      <c r="M258" s="248"/>
      <c r="N258" s="194"/>
      <c r="O258" s="193"/>
      <c r="P258" s="203">
        <v>0</v>
      </c>
      <c r="Q258" s="204">
        <f t="shared" si="85"/>
        <v>0</v>
      </c>
      <c r="R258" s="204" t="s">
        <v>30</v>
      </c>
      <c r="S258" s="203">
        <v>0</v>
      </c>
      <c r="T258" s="204">
        <f t="shared" si="89"/>
        <v>0</v>
      </c>
      <c r="U258" s="204">
        <f t="shared" si="90"/>
        <v>0</v>
      </c>
      <c r="V258" s="194"/>
      <c r="W258" s="205"/>
      <c r="X258" s="192"/>
      <c r="Y258" s="206"/>
      <c r="Z258" s="207"/>
      <c r="AA258" s="208"/>
      <c r="AB258" s="206"/>
      <c r="AC258" s="207"/>
      <c r="AD258" s="249">
        <f t="shared" si="102"/>
        <v>7</v>
      </c>
      <c r="AE258" s="209">
        <f t="shared" ref="AE258:AE270" si="103">AC258-AD258</f>
        <v>-7</v>
      </c>
      <c r="AF258" s="197" t="s">
        <v>57</v>
      </c>
      <c r="AG258" s="197" t="s">
        <v>48</v>
      </c>
      <c r="AH258" s="202">
        <f t="shared" si="55"/>
        <v>0</v>
      </c>
      <c r="AI258" s="210" t="e">
        <f>#REF!+5</f>
        <v>#REF!</v>
      </c>
      <c r="AJ258" s="197" t="s">
        <v>46</v>
      </c>
      <c r="AK258" s="211">
        <f t="shared" si="56"/>
        <v>0</v>
      </c>
      <c r="AL258" s="210">
        <f t="shared" si="101"/>
        <v>60</v>
      </c>
      <c r="AM258" s="197"/>
      <c r="AN258" s="194"/>
      <c r="AO258" s="195"/>
      <c r="AP258" s="195"/>
      <c r="AQ258" s="193"/>
      <c r="AR258" s="193"/>
      <c r="AS258" s="193"/>
      <c r="AT258" s="193"/>
      <c r="AU258" s="193"/>
      <c r="AV258" s="193"/>
      <c r="AW258" s="193"/>
      <c r="AX258" s="193"/>
      <c r="AY258" s="193"/>
      <c r="AZ258" s="193"/>
      <c r="BA258" s="193"/>
      <c r="BB258" s="193"/>
    </row>
    <row r="259" spans="1:56" s="213" customFormat="1" ht="24" customHeight="1">
      <c r="A259" s="197"/>
      <c r="B259" s="198"/>
      <c r="C259" s="194"/>
      <c r="D259" s="193"/>
      <c r="E259" s="247"/>
      <c r="F259" s="194"/>
      <c r="G259" s="247"/>
      <c r="H259" s="215"/>
      <c r="I259" s="215"/>
      <c r="J259" s="194"/>
      <c r="K259" s="197"/>
      <c r="L259" s="194"/>
      <c r="M259" s="248"/>
      <c r="N259" s="194"/>
      <c r="O259" s="193"/>
      <c r="P259" s="203">
        <v>0</v>
      </c>
      <c r="Q259" s="204">
        <f t="shared" ref="Q259:Q275" si="104">M259*P259</f>
        <v>0</v>
      </c>
      <c r="R259" s="204" t="s">
        <v>30</v>
      </c>
      <c r="S259" s="203">
        <v>0</v>
      </c>
      <c r="T259" s="204">
        <f t="shared" ref="T259:T275" si="105">M259*S259</f>
        <v>0</v>
      </c>
      <c r="U259" s="204">
        <f t="shared" ref="U259:U275" si="106">P259-S259</f>
        <v>0</v>
      </c>
      <c r="V259" s="194"/>
      <c r="W259" s="205"/>
      <c r="X259" s="192"/>
      <c r="Y259" s="206"/>
      <c r="Z259" s="207"/>
      <c r="AA259" s="194"/>
      <c r="AB259" s="206"/>
      <c r="AC259" s="207"/>
      <c r="AD259" s="206">
        <f t="shared" si="102"/>
        <v>7</v>
      </c>
      <c r="AE259" s="209">
        <f t="shared" si="103"/>
        <v>-7</v>
      </c>
      <c r="AF259" s="197" t="s">
        <v>57</v>
      </c>
      <c r="AG259" s="197" t="s">
        <v>48</v>
      </c>
      <c r="AH259" s="202">
        <f t="shared" si="55"/>
        <v>0</v>
      </c>
      <c r="AI259" s="210" t="e">
        <f>#REF!+5</f>
        <v>#REF!</v>
      </c>
      <c r="AJ259" s="197" t="s">
        <v>46</v>
      </c>
      <c r="AK259" s="211">
        <f t="shared" si="56"/>
        <v>0</v>
      </c>
      <c r="AL259" s="210">
        <f t="shared" si="101"/>
        <v>60</v>
      </c>
      <c r="AM259" s="197"/>
      <c r="AN259" s="194"/>
      <c r="AO259" s="195"/>
      <c r="AP259" s="195"/>
      <c r="AQ259" s="193"/>
      <c r="AR259" s="193"/>
      <c r="AS259" s="193"/>
      <c r="AT259" s="193"/>
      <c r="AU259" s="193"/>
      <c r="AV259" s="193"/>
      <c r="AW259" s="193"/>
      <c r="AX259" s="193"/>
      <c r="AY259" s="193"/>
      <c r="AZ259" s="193"/>
      <c r="BA259" s="193"/>
      <c r="BB259" s="193"/>
    </row>
    <row r="260" spans="1:56" s="213" customFormat="1" ht="24" customHeight="1">
      <c r="A260" s="197"/>
      <c r="B260" s="198"/>
      <c r="C260" s="194"/>
      <c r="D260" s="193"/>
      <c r="E260" s="247"/>
      <c r="F260" s="194"/>
      <c r="G260" s="247"/>
      <c r="H260" s="215"/>
      <c r="I260" s="215"/>
      <c r="J260" s="194"/>
      <c r="K260" s="197"/>
      <c r="L260" s="194"/>
      <c r="M260" s="248"/>
      <c r="N260" s="194"/>
      <c r="O260" s="193"/>
      <c r="P260" s="203">
        <v>0</v>
      </c>
      <c r="Q260" s="204">
        <f>M260*P260</f>
        <v>0</v>
      </c>
      <c r="R260" s="204" t="s">
        <v>30</v>
      </c>
      <c r="S260" s="203">
        <v>0</v>
      </c>
      <c r="T260" s="204">
        <f>M260*S260</f>
        <v>0</v>
      </c>
      <c r="U260" s="204">
        <f t="shared" ref="U260" si="107">P260-S260</f>
        <v>0</v>
      </c>
      <c r="V260" s="194"/>
      <c r="W260" s="205"/>
      <c r="X260" s="192"/>
      <c r="Y260" s="206"/>
      <c r="Z260" s="207"/>
      <c r="AA260" s="194"/>
      <c r="AB260" s="206"/>
      <c r="AC260" s="207"/>
      <c r="AD260" s="206">
        <f t="shared" ref="AD260" si="108">Y260+7</f>
        <v>7</v>
      </c>
      <c r="AE260" s="209">
        <f t="shared" ref="AE260" si="109">AC260-AD260</f>
        <v>-7</v>
      </c>
      <c r="AF260" s="197" t="s">
        <v>57</v>
      </c>
      <c r="AG260" s="197" t="s">
        <v>48</v>
      </c>
      <c r="AH260" s="202">
        <f t="shared" si="55"/>
        <v>0</v>
      </c>
      <c r="AI260" s="210" t="e">
        <f>#REF!+5</f>
        <v>#REF!</v>
      </c>
      <c r="AJ260" s="197" t="s">
        <v>46</v>
      </c>
      <c r="AK260" s="211">
        <f t="shared" si="56"/>
        <v>0</v>
      </c>
      <c r="AL260" s="210">
        <f t="shared" si="101"/>
        <v>60</v>
      </c>
      <c r="AM260" s="197"/>
      <c r="AN260" s="194"/>
      <c r="AO260" s="195"/>
      <c r="AP260" s="195"/>
      <c r="AQ260" s="193"/>
      <c r="AR260" s="193"/>
      <c r="AS260" s="193"/>
      <c r="AT260" s="193"/>
      <c r="AU260" s="193"/>
      <c r="AV260" s="193"/>
      <c r="AW260" s="193"/>
      <c r="AX260" s="193"/>
      <c r="AY260" s="193"/>
      <c r="AZ260" s="193"/>
      <c r="BA260" s="193"/>
      <c r="BB260" s="193"/>
    </row>
    <row r="261" spans="1:56" s="213" customFormat="1" ht="24" customHeight="1">
      <c r="A261" s="197"/>
      <c r="B261" s="198"/>
      <c r="C261" s="198"/>
      <c r="D261" s="193"/>
      <c r="E261" s="247"/>
      <c r="F261" s="194"/>
      <c r="G261" s="247"/>
      <c r="H261" s="215"/>
      <c r="I261" s="215"/>
      <c r="J261" s="194"/>
      <c r="K261" s="197"/>
      <c r="L261" s="194"/>
      <c r="M261" s="199"/>
      <c r="N261" s="194"/>
      <c r="O261" s="193"/>
      <c r="P261" s="203">
        <v>0</v>
      </c>
      <c r="Q261" s="204">
        <f t="shared" si="104"/>
        <v>0</v>
      </c>
      <c r="R261" s="204" t="s">
        <v>30</v>
      </c>
      <c r="S261" s="203">
        <v>0</v>
      </c>
      <c r="T261" s="204">
        <f>M261*S261</f>
        <v>0</v>
      </c>
      <c r="U261" s="204">
        <f t="shared" si="106"/>
        <v>0</v>
      </c>
      <c r="V261" s="194"/>
      <c r="W261" s="205"/>
      <c r="X261" s="192"/>
      <c r="Y261" s="206"/>
      <c r="Z261" s="206"/>
      <c r="AA261" s="194"/>
      <c r="AB261" s="206"/>
      <c r="AC261" s="207"/>
      <c r="AD261" s="206">
        <f t="shared" si="102"/>
        <v>7</v>
      </c>
      <c r="AE261" s="209">
        <f t="shared" si="103"/>
        <v>-7</v>
      </c>
      <c r="AF261" s="197" t="s">
        <v>57</v>
      </c>
      <c r="AG261" s="197" t="s">
        <v>48</v>
      </c>
      <c r="AH261" s="202">
        <f t="shared" si="55"/>
        <v>0</v>
      </c>
      <c r="AI261" s="210" t="e">
        <f>#REF!+5</f>
        <v>#REF!</v>
      </c>
      <c r="AJ261" s="197" t="s">
        <v>46</v>
      </c>
      <c r="AK261" s="211">
        <f t="shared" si="56"/>
        <v>0</v>
      </c>
      <c r="AL261" s="210">
        <f t="shared" si="101"/>
        <v>60</v>
      </c>
      <c r="AM261" s="197"/>
      <c r="AN261" s="194"/>
      <c r="AO261" s="195"/>
      <c r="AP261" s="195"/>
      <c r="AQ261" s="193"/>
      <c r="AR261" s="193"/>
      <c r="AS261" s="193"/>
      <c r="AT261" s="193"/>
      <c r="AU261" s="193"/>
      <c r="AV261" s="193"/>
      <c r="AW261" s="193"/>
      <c r="AX261" s="193"/>
      <c r="AY261" s="193"/>
      <c r="AZ261" s="193"/>
      <c r="BA261" s="193"/>
      <c r="BB261" s="193"/>
      <c r="BC261" s="375"/>
      <c r="BD261" s="236"/>
    </row>
    <row r="262" spans="1:56" s="250" customFormat="1" ht="24" customHeight="1">
      <c r="A262" s="197"/>
      <c r="B262" s="198"/>
      <c r="C262" s="198"/>
      <c r="D262" s="193"/>
      <c r="E262" s="247"/>
      <c r="F262" s="194"/>
      <c r="G262" s="247"/>
      <c r="H262" s="215"/>
      <c r="I262" s="215"/>
      <c r="J262" s="194"/>
      <c r="K262" s="197"/>
      <c r="L262" s="194"/>
      <c r="M262" s="194"/>
      <c r="N262" s="194"/>
      <c r="O262" s="193"/>
      <c r="P262" s="203">
        <v>0</v>
      </c>
      <c r="Q262" s="203">
        <f t="shared" si="104"/>
        <v>0</v>
      </c>
      <c r="R262" s="203" t="s">
        <v>30</v>
      </c>
      <c r="S262" s="203">
        <v>0</v>
      </c>
      <c r="T262" s="204">
        <f t="shared" si="105"/>
        <v>0</v>
      </c>
      <c r="U262" s="204">
        <f t="shared" si="106"/>
        <v>0</v>
      </c>
      <c r="V262" s="194"/>
      <c r="W262" s="205"/>
      <c r="X262" s="192"/>
      <c r="Y262" s="224"/>
      <c r="Z262" s="224"/>
      <c r="AA262" s="226"/>
      <c r="AB262" s="224"/>
      <c r="AC262" s="206"/>
      <c r="AD262" s="206">
        <f t="shared" si="102"/>
        <v>7</v>
      </c>
      <c r="AE262" s="208">
        <f>AD262-AC262</f>
        <v>7</v>
      </c>
      <c r="AF262" s="197" t="s">
        <v>57</v>
      </c>
      <c r="AG262" s="197" t="s">
        <v>55</v>
      </c>
      <c r="AH262" s="222">
        <f t="shared" si="55"/>
        <v>0</v>
      </c>
      <c r="AI262" s="210" t="e">
        <f>#REF!+5</f>
        <v>#REF!</v>
      </c>
      <c r="AJ262" s="197" t="s">
        <v>46</v>
      </c>
      <c r="AK262" s="211">
        <f t="shared" si="56"/>
        <v>0</v>
      </c>
      <c r="AL262" s="210">
        <f t="shared" si="101"/>
        <v>60</v>
      </c>
      <c r="AM262" s="197"/>
      <c r="AN262" s="194"/>
      <c r="AO262" s="195"/>
      <c r="AP262" s="195"/>
      <c r="AQ262" s="193"/>
      <c r="AR262" s="193"/>
      <c r="AS262" s="193"/>
      <c r="AT262" s="193"/>
      <c r="AU262" s="193"/>
      <c r="AV262" s="193"/>
      <c r="AW262" s="193"/>
      <c r="AX262" s="193"/>
      <c r="AY262" s="193"/>
      <c r="AZ262" s="193"/>
      <c r="BA262" s="193"/>
      <c r="BB262" s="193"/>
      <c r="BC262" s="213"/>
    </row>
    <row r="263" spans="1:56" s="250" customFormat="1" ht="24" customHeight="1">
      <c r="A263" s="197"/>
      <c r="B263" s="198"/>
      <c r="C263" s="194"/>
      <c r="D263" s="193"/>
      <c r="E263" s="247"/>
      <c r="F263" s="194"/>
      <c r="G263" s="247"/>
      <c r="H263" s="215"/>
      <c r="I263" s="215"/>
      <c r="J263" s="194"/>
      <c r="K263" s="197"/>
      <c r="L263" s="194"/>
      <c r="M263" s="248"/>
      <c r="N263" s="194"/>
      <c r="O263" s="193"/>
      <c r="P263" s="203">
        <v>0</v>
      </c>
      <c r="Q263" s="204">
        <f t="shared" ref="Q263" si="110">M263*P263</f>
        <v>0</v>
      </c>
      <c r="R263" s="203" t="s">
        <v>30</v>
      </c>
      <c r="S263" s="203">
        <v>0</v>
      </c>
      <c r="T263" s="204">
        <f t="shared" ref="T263" si="111">M263*S263</f>
        <v>0</v>
      </c>
      <c r="U263" s="204">
        <f t="shared" ref="U263" si="112">P263-S263</f>
        <v>0</v>
      </c>
      <c r="V263" s="194"/>
      <c r="W263" s="205"/>
      <c r="X263" s="192"/>
      <c r="Y263" s="206"/>
      <c r="Z263" s="207"/>
      <c r="AA263" s="194"/>
      <c r="AB263" s="206"/>
      <c r="AC263" s="207"/>
      <c r="AD263" s="206">
        <f t="shared" ref="AD263" si="113">Y263+7</f>
        <v>7</v>
      </c>
      <c r="AE263" s="209">
        <f t="shared" ref="AE263" si="114">AC263-AD263</f>
        <v>-7</v>
      </c>
      <c r="AF263" s="197" t="s">
        <v>57</v>
      </c>
      <c r="AG263" s="197" t="s">
        <v>48</v>
      </c>
      <c r="AH263" s="202">
        <f t="shared" si="55"/>
        <v>0</v>
      </c>
      <c r="AI263" s="210" t="e">
        <f>#REF!+5</f>
        <v>#REF!</v>
      </c>
      <c r="AJ263" s="197" t="s">
        <v>46</v>
      </c>
      <c r="AK263" s="211">
        <f t="shared" si="56"/>
        <v>0</v>
      </c>
      <c r="AL263" s="210">
        <f t="shared" si="101"/>
        <v>60</v>
      </c>
      <c r="AM263" s="197"/>
      <c r="AN263" s="194"/>
      <c r="AO263" s="195"/>
      <c r="AP263" s="195"/>
      <c r="AQ263" s="193"/>
      <c r="AR263" s="193"/>
      <c r="AS263" s="193"/>
      <c r="AT263" s="193"/>
      <c r="AU263" s="193"/>
      <c r="AV263" s="193"/>
      <c r="AW263" s="193"/>
      <c r="AX263" s="193"/>
      <c r="AY263" s="193"/>
      <c r="AZ263" s="193"/>
      <c r="BA263" s="193"/>
      <c r="BB263" s="193"/>
      <c r="BC263" s="213"/>
    </row>
    <row r="264" spans="1:56" s="213" customFormat="1" ht="24" customHeight="1">
      <c r="A264" s="197"/>
      <c r="B264" s="198"/>
      <c r="C264" s="198"/>
      <c r="D264" s="193"/>
      <c r="E264" s="194"/>
      <c r="F264" s="194"/>
      <c r="G264" s="194"/>
      <c r="H264" s="215"/>
      <c r="I264" s="215"/>
      <c r="J264" s="194"/>
      <c r="K264" s="197"/>
      <c r="L264" s="194"/>
      <c r="M264" s="199"/>
      <c r="N264" s="194"/>
      <c r="O264" s="193"/>
      <c r="P264" s="203">
        <v>0</v>
      </c>
      <c r="Q264" s="203">
        <f t="shared" si="104"/>
        <v>0</v>
      </c>
      <c r="R264" s="204" t="s">
        <v>30</v>
      </c>
      <c r="S264" s="203">
        <v>0</v>
      </c>
      <c r="T264" s="204">
        <f t="shared" si="105"/>
        <v>0</v>
      </c>
      <c r="U264" s="204">
        <f t="shared" si="106"/>
        <v>0</v>
      </c>
      <c r="V264" s="194"/>
      <c r="W264" s="205"/>
      <c r="X264" s="192"/>
      <c r="Y264" s="206"/>
      <c r="Z264" s="206"/>
      <c r="AA264" s="194"/>
      <c r="AB264" s="206"/>
      <c r="AC264" s="207"/>
      <c r="AD264" s="206">
        <f t="shared" si="102"/>
        <v>7</v>
      </c>
      <c r="AE264" s="209">
        <f t="shared" si="103"/>
        <v>-7</v>
      </c>
      <c r="AF264" s="197" t="s">
        <v>57</v>
      </c>
      <c r="AG264" s="197" t="s">
        <v>52</v>
      </c>
      <c r="AH264" s="202">
        <f t="shared" si="55"/>
        <v>0</v>
      </c>
      <c r="AI264" s="210" t="e">
        <f>#REF!+5</f>
        <v>#REF!</v>
      </c>
      <c r="AJ264" s="197" t="s">
        <v>46</v>
      </c>
      <c r="AK264" s="211">
        <f t="shared" si="56"/>
        <v>0</v>
      </c>
      <c r="AL264" s="210">
        <f t="shared" ref="AL264:AL292" si="115">Y264+90</f>
        <v>90</v>
      </c>
      <c r="AM264" s="197"/>
      <c r="AN264" s="194"/>
      <c r="AO264" s="195"/>
      <c r="AP264" s="195"/>
      <c r="AQ264" s="193"/>
      <c r="AR264" s="193"/>
      <c r="AS264" s="193"/>
      <c r="AT264" s="193"/>
      <c r="AU264" s="193"/>
      <c r="AV264" s="193"/>
      <c r="AW264" s="193"/>
      <c r="AX264" s="193"/>
      <c r="AY264" s="193"/>
      <c r="AZ264" s="193"/>
      <c r="BA264" s="193"/>
      <c r="BB264" s="193"/>
      <c r="BC264" s="375"/>
      <c r="BD264" s="236"/>
    </row>
    <row r="265" spans="1:56" s="250" customFormat="1" ht="24" customHeight="1">
      <c r="A265" s="197"/>
      <c r="B265" s="198"/>
      <c r="C265" s="198"/>
      <c r="D265" s="193"/>
      <c r="E265" s="194"/>
      <c r="F265" s="194"/>
      <c r="G265" s="194"/>
      <c r="H265" s="215"/>
      <c r="I265" s="215"/>
      <c r="J265" s="194"/>
      <c r="K265" s="197"/>
      <c r="L265" s="194"/>
      <c r="M265" s="199"/>
      <c r="N265" s="194"/>
      <c r="O265" s="193"/>
      <c r="P265" s="203">
        <v>0</v>
      </c>
      <c r="Q265" s="203">
        <f t="shared" ref="Q265:Q266" si="116">M265*P265</f>
        <v>0</v>
      </c>
      <c r="R265" s="204" t="s">
        <v>30</v>
      </c>
      <c r="S265" s="203">
        <v>0</v>
      </c>
      <c r="T265" s="204">
        <f t="shared" ref="T265:T266" si="117">M265*S265</f>
        <v>0</v>
      </c>
      <c r="U265" s="204">
        <f t="shared" ref="U265:U266" si="118">P265-S265</f>
        <v>0</v>
      </c>
      <c r="V265" s="194"/>
      <c r="W265" s="205"/>
      <c r="X265" s="192"/>
      <c r="Y265" s="206"/>
      <c r="Z265" s="206"/>
      <c r="AA265" s="194"/>
      <c r="AB265" s="206"/>
      <c r="AC265" s="207"/>
      <c r="AD265" s="206">
        <f t="shared" ref="AD265:AD266" si="119">Y265+7</f>
        <v>7</v>
      </c>
      <c r="AE265" s="209">
        <f t="shared" si="103"/>
        <v>-7</v>
      </c>
      <c r="AF265" s="197" t="s">
        <v>57</v>
      </c>
      <c r="AG265" s="197" t="s">
        <v>48</v>
      </c>
      <c r="AH265" s="202">
        <f t="shared" si="55"/>
        <v>0</v>
      </c>
      <c r="AI265" s="210" t="e">
        <f>#REF!+5</f>
        <v>#REF!</v>
      </c>
      <c r="AJ265" s="197" t="s">
        <v>46</v>
      </c>
      <c r="AK265" s="211">
        <f t="shared" si="56"/>
        <v>0</v>
      </c>
      <c r="AL265" s="210">
        <f t="shared" si="115"/>
        <v>90</v>
      </c>
      <c r="AM265" s="197"/>
      <c r="AN265" s="194"/>
      <c r="AO265" s="195"/>
      <c r="AP265" s="195"/>
      <c r="AQ265" s="193"/>
      <c r="AR265" s="193"/>
      <c r="AS265" s="193"/>
      <c r="AT265" s="193"/>
      <c r="AU265" s="193"/>
      <c r="AV265" s="193"/>
      <c r="AW265" s="193"/>
      <c r="AX265" s="193"/>
      <c r="AY265" s="193"/>
      <c r="AZ265" s="193"/>
      <c r="BA265" s="193"/>
      <c r="BB265" s="193"/>
      <c r="BC265" s="375"/>
    </row>
    <row r="266" spans="1:56" s="250" customFormat="1" ht="24" customHeight="1">
      <c r="A266" s="197"/>
      <c r="B266" s="198"/>
      <c r="C266" s="198"/>
      <c r="D266" s="193"/>
      <c r="E266" s="194"/>
      <c r="F266" s="194"/>
      <c r="G266" s="194"/>
      <c r="H266" s="215"/>
      <c r="I266" s="215"/>
      <c r="J266" s="194"/>
      <c r="K266" s="197"/>
      <c r="L266" s="194"/>
      <c r="M266" s="199"/>
      <c r="N266" s="194"/>
      <c r="O266" s="193"/>
      <c r="P266" s="203">
        <v>0</v>
      </c>
      <c r="Q266" s="203">
        <f t="shared" si="116"/>
        <v>0</v>
      </c>
      <c r="R266" s="204" t="s">
        <v>30</v>
      </c>
      <c r="S266" s="203">
        <v>0</v>
      </c>
      <c r="T266" s="204">
        <f t="shared" si="117"/>
        <v>0</v>
      </c>
      <c r="U266" s="204">
        <f t="shared" si="118"/>
        <v>0</v>
      </c>
      <c r="V266" s="194"/>
      <c r="W266" s="205"/>
      <c r="X266" s="192"/>
      <c r="Y266" s="206"/>
      <c r="Z266" s="206"/>
      <c r="AA266" s="194"/>
      <c r="AB266" s="206"/>
      <c r="AC266" s="207"/>
      <c r="AD266" s="206">
        <f t="shared" si="119"/>
        <v>7</v>
      </c>
      <c r="AE266" s="209">
        <f t="shared" si="103"/>
        <v>-7</v>
      </c>
      <c r="AF266" s="197" t="s">
        <v>57</v>
      </c>
      <c r="AG266" s="197" t="s">
        <v>48</v>
      </c>
      <c r="AH266" s="202">
        <f t="shared" si="55"/>
        <v>0</v>
      </c>
      <c r="AI266" s="210" t="e">
        <f>#REF!+5</f>
        <v>#REF!</v>
      </c>
      <c r="AJ266" s="197" t="s">
        <v>46</v>
      </c>
      <c r="AK266" s="211">
        <f t="shared" si="56"/>
        <v>0</v>
      </c>
      <c r="AL266" s="210">
        <f t="shared" si="115"/>
        <v>90</v>
      </c>
      <c r="AM266" s="197"/>
      <c r="AN266" s="194"/>
      <c r="AO266" s="195"/>
      <c r="AP266" s="195"/>
      <c r="AQ266" s="193"/>
      <c r="AR266" s="193"/>
      <c r="AS266" s="193"/>
      <c r="AT266" s="193"/>
      <c r="AU266" s="193"/>
      <c r="AV266" s="193"/>
      <c r="AW266" s="193"/>
      <c r="AX266" s="193"/>
      <c r="AY266" s="193"/>
      <c r="AZ266" s="193"/>
      <c r="BA266" s="193"/>
      <c r="BB266" s="193"/>
      <c r="BC266" s="375"/>
    </row>
    <row r="267" spans="1:56" s="213" customFormat="1" ht="24" customHeight="1">
      <c r="A267" s="197"/>
      <c r="B267" s="198"/>
      <c r="C267" s="198"/>
      <c r="D267" s="193"/>
      <c r="E267" s="194"/>
      <c r="F267" s="194"/>
      <c r="G267" s="194"/>
      <c r="H267" s="215"/>
      <c r="I267" s="215"/>
      <c r="J267" s="194"/>
      <c r="K267" s="197"/>
      <c r="L267" s="194"/>
      <c r="M267" s="199"/>
      <c r="N267" s="194"/>
      <c r="O267" s="193"/>
      <c r="P267" s="203">
        <v>0</v>
      </c>
      <c r="Q267" s="203">
        <f t="shared" ref="Q267" si="120">M267*P267</f>
        <v>0</v>
      </c>
      <c r="R267" s="204" t="s">
        <v>30</v>
      </c>
      <c r="S267" s="203">
        <v>0</v>
      </c>
      <c r="T267" s="204">
        <f t="shared" ref="T267" si="121">M267*S267</f>
        <v>0</v>
      </c>
      <c r="U267" s="204">
        <f t="shared" ref="U267" si="122">P267-S267</f>
        <v>0</v>
      </c>
      <c r="V267" s="194"/>
      <c r="W267" s="205"/>
      <c r="X267" s="192"/>
      <c r="Y267" s="207"/>
      <c r="Z267" s="207"/>
      <c r="AA267" s="208"/>
      <c r="AB267" s="206"/>
      <c r="AC267" s="207"/>
      <c r="AD267" s="206">
        <f t="shared" ref="AD267" si="123">Y267+7</f>
        <v>7</v>
      </c>
      <c r="AE267" s="209">
        <f t="shared" ref="AE267" si="124">AC267-AD267</f>
        <v>-7</v>
      </c>
      <c r="AF267" s="197" t="s">
        <v>51</v>
      </c>
      <c r="AG267" s="197" t="s">
        <v>52</v>
      </c>
      <c r="AH267" s="202">
        <f t="shared" si="55"/>
        <v>0</v>
      </c>
      <c r="AI267" s="210" t="e">
        <f>#REF!+5</f>
        <v>#REF!</v>
      </c>
      <c r="AJ267" s="197" t="s">
        <v>46</v>
      </c>
      <c r="AK267" s="211">
        <f t="shared" si="56"/>
        <v>0</v>
      </c>
      <c r="AL267" s="210">
        <f t="shared" si="115"/>
        <v>90</v>
      </c>
      <c r="AM267" s="197"/>
      <c r="AN267" s="194"/>
      <c r="AO267" s="195"/>
      <c r="AP267" s="195"/>
      <c r="AQ267" s="193"/>
      <c r="AR267" s="193"/>
      <c r="AS267" s="193"/>
      <c r="AT267" s="193"/>
      <c r="AU267" s="193"/>
      <c r="AV267" s="193"/>
      <c r="AW267" s="193"/>
      <c r="AX267" s="193"/>
      <c r="AY267" s="193"/>
      <c r="AZ267" s="193"/>
      <c r="BA267" s="193"/>
      <c r="BB267" s="193"/>
      <c r="BC267" s="375"/>
    </row>
    <row r="268" spans="1:56" s="213" customFormat="1" ht="24" customHeight="1">
      <c r="A268" s="197"/>
      <c r="B268" s="198"/>
      <c r="C268" s="198"/>
      <c r="D268" s="193"/>
      <c r="E268" s="194"/>
      <c r="F268" s="194"/>
      <c r="G268" s="194"/>
      <c r="H268" s="215"/>
      <c r="I268" s="215"/>
      <c r="J268" s="194"/>
      <c r="K268" s="197"/>
      <c r="L268" s="194"/>
      <c r="M268" s="199"/>
      <c r="N268" s="194"/>
      <c r="O268" s="193"/>
      <c r="P268" s="203">
        <v>0</v>
      </c>
      <c r="Q268" s="203">
        <f t="shared" ref="Q268:Q269" si="125">M268*P268</f>
        <v>0</v>
      </c>
      <c r="R268" s="204" t="s">
        <v>30</v>
      </c>
      <c r="S268" s="203">
        <v>0</v>
      </c>
      <c r="T268" s="204">
        <f t="shared" ref="T268:T269" si="126">M268*S268</f>
        <v>0</v>
      </c>
      <c r="U268" s="204">
        <f t="shared" ref="U268:U269" si="127">P268-S268</f>
        <v>0</v>
      </c>
      <c r="V268" s="194"/>
      <c r="W268" s="205"/>
      <c r="X268" s="192"/>
      <c r="Y268" s="206"/>
      <c r="Z268" s="206"/>
      <c r="AA268" s="194"/>
      <c r="AB268" s="206"/>
      <c r="AC268" s="207"/>
      <c r="AD268" s="206">
        <f t="shared" ref="AD268:AD269" si="128">Y268+7</f>
        <v>7</v>
      </c>
      <c r="AE268" s="209">
        <f t="shared" ref="AE268:AE269" si="129">AC268-AD268</f>
        <v>-7</v>
      </c>
      <c r="AF268" s="197" t="s">
        <v>57</v>
      </c>
      <c r="AG268" s="197" t="s">
        <v>48</v>
      </c>
      <c r="AH268" s="202">
        <f t="shared" si="55"/>
        <v>0</v>
      </c>
      <c r="AI268" s="210" t="e">
        <f>#REF!+5</f>
        <v>#REF!</v>
      </c>
      <c r="AJ268" s="197" t="s">
        <v>46</v>
      </c>
      <c r="AK268" s="211">
        <f t="shared" si="56"/>
        <v>0</v>
      </c>
      <c r="AL268" s="210">
        <f t="shared" si="115"/>
        <v>90</v>
      </c>
      <c r="AM268" s="197"/>
      <c r="AN268" s="194"/>
      <c r="AO268" s="195"/>
      <c r="AP268" s="195"/>
      <c r="AQ268" s="193"/>
      <c r="AR268" s="193"/>
      <c r="AS268" s="193"/>
      <c r="AT268" s="193"/>
      <c r="AU268" s="193"/>
      <c r="AV268" s="193"/>
      <c r="AW268" s="193"/>
      <c r="AX268" s="193"/>
      <c r="AY268" s="193"/>
      <c r="AZ268" s="193"/>
      <c r="BA268" s="193"/>
      <c r="BB268" s="193"/>
      <c r="BC268" s="375"/>
      <c r="BD268" s="236"/>
    </row>
    <row r="269" spans="1:56" s="213" customFormat="1" ht="24" customHeight="1">
      <c r="A269" s="197"/>
      <c r="B269" s="198"/>
      <c r="C269" s="198"/>
      <c r="D269" s="193"/>
      <c r="E269" s="194"/>
      <c r="F269" s="194"/>
      <c r="G269" s="194"/>
      <c r="H269" s="215"/>
      <c r="I269" s="215"/>
      <c r="J269" s="194"/>
      <c r="K269" s="197"/>
      <c r="L269" s="194"/>
      <c r="M269" s="199"/>
      <c r="N269" s="194"/>
      <c r="O269" s="193"/>
      <c r="P269" s="203">
        <v>0</v>
      </c>
      <c r="Q269" s="203">
        <f t="shared" si="125"/>
        <v>0</v>
      </c>
      <c r="R269" s="204" t="s">
        <v>30</v>
      </c>
      <c r="S269" s="203">
        <v>0</v>
      </c>
      <c r="T269" s="204">
        <f t="shared" si="126"/>
        <v>0</v>
      </c>
      <c r="U269" s="204">
        <f t="shared" si="127"/>
        <v>0</v>
      </c>
      <c r="V269" s="194"/>
      <c r="W269" s="205"/>
      <c r="X269" s="192"/>
      <c r="Y269" s="206"/>
      <c r="Z269" s="206"/>
      <c r="AA269" s="194"/>
      <c r="AB269" s="206"/>
      <c r="AC269" s="207"/>
      <c r="AD269" s="206">
        <f t="shared" si="128"/>
        <v>7</v>
      </c>
      <c r="AE269" s="209">
        <f t="shared" si="129"/>
        <v>-7</v>
      </c>
      <c r="AF269" s="197" t="s">
        <v>57</v>
      </c>
      <c r="AG269" s="197" t="s">
        <v>48</v>
      </c>
      <c r="AH269" s="202">
        <f t="shared" si="55"/>
        <v>0</v>
      </c>
      <c r="AI269" s="210" t="e">
        <f>#REF!+5</f>
        <v>#REF!</v>
      </c>
      <c r="AJ269" s="197" t="s">
        <v>46</v>
      </c>
      <c r="AK269" s="211">
        <f t="shared" si="56"/>
        <v>0</v>
      </c>
      <c r="AL269" s="210">
        <f t="shared" si="115"/>
        <v>90</v>
      </c>
      <c r="AM269" s="197"/>
      <c r="AN269" s="194"/>
      <c r="AO269" s="195"/>
      <c r="AP269" s="195"/>
      <c r="AQ269" s="193"/>
      <c r="AR269" s="193"/>
      <c r="AS269" s="193"/>
      <c r="AT269" s="193"/>
      <c r="AU269" s="193"/>
      <c r="AV269" s="193"/>
      <c r="AW269" s="193"/>
      <c r="AX269" s="193"/>
      <c r="AY269" s="193"/>
      <c r="AZ269" s="193"/>
      <c r="BA269" s="193"/>
      <c r="BB269" s="193"/>
      <c r="BC269" s="375"/>
      <c r="BD269" s="236"/>
    </row>
    <row r="270" spans="1:56" s="213" customFormat="1" ht="24" customHeight="1">
      <c r="A270" s="197"/>
      <c r="B270" s="197"/>
      <c r="C270" s="198"/>
      <c r="D270" s="193"/>
      <c r="E270" s="247"/>
      <c r="F270" s="194"/>
      <c r="G270" s="247"/>
      <c r="H270" s="215"/>
      <c r="I270" s="215"/>
      <c r="J270" s="194"/>
      <c r="K270" s="197"/>
      <c r="L270" s="194"/>
      <c r="M270" s="248"/>
      <c r="N270" s="194"/>
      <c r="O270" s="193"/>
      <c r="P270" s="203">
        <v>0</v>
      </c>
      <c r="Q270" s="203">
        <f>M270*P270</f>
        <v>0</v>
      </c>
      <c r="R270" s="204" t="s">
        <v>30</v>
      </c>
      <c r="S270" s="203">
        <v>0</v>
      </c>
      <c r="T270" s="204">
        <f>M270*S270</f>
        <v>0</v>
      </c>
      <c r="U270" s="204">
        <f>P270-S270</f>
        <v>0</v>
      </c>
      <c r="V270" s="197"/>
      <c r="W270" s="205"/>
      <c r="X270" s="192"/>
      <c r="Y270" s="206"/>
      <c r="Z270" s="206"/>
      <c r="AA270" s="208"/>
      <c r="AB270" s="206"/>
      <c r="AC270" s="207"/>
      <c r="AD270" s="206">
        <f t="shared" si="102"/>
        <v>7</v>
      </c>
      <c r="AE270" s="209">
        <f t="shared" si="103"/>
        <v>-7</v>
      </c>
      <c r="AF270" s="197" t="s">
        <v>54</v>
      </c>
      <c r="AG270" s="197" t="s">
        <v>48</v>
      </c>
      <c r="AH270" s="202">
        <f t="shared" si="55"/>
        <v>0</v>
      </c>
      <c r="AI270" s="210" t="e">
        <f>#REF!+5</f>
        <v>#REF!</v>
      </c>
      <c r="AJ270" s="197" t="s">
        <v>46</v>
      </c>
      <c r="AK270" s="211">
        <f t="shared" si="56"/>
        <v>0</v>
      </c>
      <c r="AL270" s="210">
        <f t="shared" si="115"/>
        <v>90</v>
      </c>
      <c r="AM270" s="197"/>
      <c r="AN270" s="194"/>
      <c r="AO270" s="194"/>
      <c r="AP270" s="194"/>
      <c r="AQ270" s="193"/>
      <c r="AR270" s="193"/>
      <c r="AS270" s="193"/>
      <c r="AT270" s="193"/>
      <c r="AU270" s="193"/>
      <c r="AV270" s="193"/>
      <c r="AW270" s="193"/>
      <c r="AX270" s="193"/>
      <c r="AY270" s="193"/>
      <c r="AZ270" s="193"/>
      <c r="BA270" s="193"/>
      <c r="BB270" s="193"/>
    </row>
    <row r="271" spans="1:56" s="213" customFormat="1" ht="24" customHeight="1">
      <c r="A271" s="197"/>
      <c r="B271" s="197"/>
      <c r="C271" s="198"/>
      <c r="D271" s="193"/>
      <c r="E271" s="247"/>
      <c r="F271" s="194"/>
      <c r="G271" s="247"/>
      <c r="H271" s="215"/>
      <c r="I271" s="215"/>
      <c r="J271" s="194"/>
      <c r="K271" s="197"/>
      <c r="L271" s="194"/>
      <c r="M271" s="248"/>
      <c r="N271" s="194"/>
      <c r="O271" s="193"/>
      <c r="P271" s="203">
        <v>0</v>
      </c>
      <c r="Q271" s="203">
        <f t="shared" si="104"/>
        <v>0</v>
      </c>
      <c r="R271" s="203" t="s">
        <v>30</v>
      </c>
      <c r="S271" s="203">
        <v>0</v>
      </c>
      <c r="T271" s="204">
        <f t="shared" si="105"/>
        <v>0</v>
      </c>
      <c r="U271" s="204">
        <f t="shared" si="106"/>
        <v>0</v>
      </c>
      <c r="V271" s="197"/>
      <c r="W271" s="205"/>
      <c r="X271" s="192"/>
      <c r="Y271" s="206"/>
      <c r="Z271" s="206"/>
      <c r="AA271" s="208"/>
      <c r="AB271" s="206"/>
      <c r="AC271" s="207"/>
      <c r="AD271" s="206">
        <f t="shared" si="102"/>
        <v>7</v>
      </c>
      <c r="AE271" s="209">
        <f t="shared" ref="AE271:AE290" si="130">AC271-AD271</f>
        <v>-7</v>
      </c>
      <c r="AF271" s="197" t="s">
        <v>54</v>
      </c>
      <c r="AG271" s="197" t="s">
        <v>48</v>
      </c>
      <c r="AH271" s="202">
        <f t="shared" si="55"/>
        <v>0</v>
      </c>
      <c r="AI271" s="210" t="e">
        <f>#REF!+5</f>
        <v>#REF!</v>
      </c>
      <c r="AJ271" s="197" t="s">
        <v>46</v>
      </c>
      <c r="AK271" s="211">
        <f t="shared" si="56"/>
        <v>0</v>
      </c>
      <c r="AL271" s="210">
        <f t="shared" si="115"/>
        <v>90</v>
      </c>
      <c r="AM271" s="197"/>
      <c r="AN271" s="194"/>
      <c r="AO271" s="194"/>
      <c r="AP271" s="194"/>
      <c r="AQ271" s="193"/>
      <c r="AR271" s="193"/>
      <c r="AS271" s="193"/>
      <c r="AT271" s="193"/>
      <c r="AU271" s="193"/>
      <c r="AV271" s="193"/>
      <c r="AW271" s="193"/>
      <c r="AX271" s="193"/>
      <c r="AY271" s="193"/>
      <c r="AZ271" s="193"/>
      <c r="BA271" s="193"/>
      <c r="BB271" s="193"/>
    </row>
    <row r="272" spans="1:56" s="213" customFormat="1" ht="24.75" customHeight="1">
      <c r="A272" s="197"/>
      <c r="B272" s="197"/>
      <c r="C272" s="198"/>
      <c r="D272" s="193"/>
      <c r="E272" s="194"/>
      <c r="F272" s="194"/>
      <c r="G272" s="194"/>
      <c r="H272" s="215"/>
      <c r="I272" s="215"/>
      <c r="J272" s="194"/>
      <c r="K272" s="197"/>
      <c r="L272" s="194"/>
      <c r="M272" s="194"/>
      <c r="N272" s="194"/>
      <c r="O272" s="193"/>
      <c r="P272" s="203">
        <v>0</v>
      </c>
      <c r="Q272" s="203">
        <f>M272*P272</f>
        <v>0</v>
      </c>
      <c r="R272" s="203" t="s">
        <v>30</v>
      </c>
      <c r="S272" s="203">
        <v>0</v>
      </c>
      <c r="T272" s="204">
        <f>M272*S272</f>
        <v>0</v>
      </c>
      <c r="U272" s="204">
        <f>P272-S272</f>
        <v>0</v>
      </c>
      <c r="V272" s="194"/>
      <c r="W272" s="205"/>
      <c r="X272" s="192"/>
      <c r="Y272" s="206"/>
      <c r="Z272" s="206"/>
      <c r="AA272" s="208"/>
      <c r="AB272" s="206"/>
      <c r="AC272" s="207"/>
      <c r="AD272" s="207">
        <f t="shared" si="102"/>
        <v>7</v>
      </c>
      <c r="AE272" s="209">
        <f>AC272-AD272</f>
        <v>-7</v>
      </c>
      <c r="AF272" s="197" t="s">
        <v>54</v>
      </c>
      <c r="AG272" s="197" t="s">
        <v>48</v>
      </c>
      <c r="AH272" s="202">
        <f t="shared" si="55"/>
        <v>0</v>
      </c>
      <c r="AI272" s="210" t="e">
        <f>#REF!+5</f>
        <v>#REF!</v>
      </c>
      <c r="AJ272" s="197" t="s">
        <v>46</v>
      </c>
      <c r="AK272" s="211">
        <f t="shared" si="56"/>
        <v>0</v>
      </c>
      <c r="AL272" s="210">
        <f t="shared" si="115"/>
        <v>90</v>
      </c>
      <c r="AM272" s="197"/>
      <c r="AN272" s="194"/>
      <c r="AO272" s="194"/>
      <c r="AP272" s="194"/>
      <c r="AQ272" s="193"/>
      <c r="AR272" s="193"/>
      <c r="AS272" s="193"/>
      <c r="AT272" s="193"/>
      <c r="AU272" s="193"/>
      <c r="AV272" s="193"/>
      <c r="AW272" s="193"/>
      <c r="AX272" s="193"/>
      <c r="AY272" s="193"/>
      <c r="AZ272" s="193"/>
      <c r="BA272" s="193"/>
      <c r="BB272" s="193"/>
    </row>
    <row r="273" spans="1:56" s="213" customFormat="1" ht="24.75" customHeight="1">
      <c r="A273" s="197"/>
      <c r="B273" s="197"/>
      <c r="C273" s="198"/>
      <c r="D273" s="193"/>
      <c r="E273" s="247"/>
      <c r="F273" s="194"/>
      <c r="G273" s="247"/>
      <c r="H273" s="215"/>
      <c r="I273" s="215"/>
      <c r="J273" s="194"/>
      <c r="K273" s="197"/>
      <c r="L273" s="194"/>
      <c r="M273" s="194"/>
      <c r="N273" s="194"/>
      <c r="O273" s="193"/>
      <c r="P273" s="203">
        <v>0</v>
      </c>
      <c r="Q273" s="203">
        <f>M273*P273</f>
        <v>0</v>
      </c>
      <c r="R273" s="203" t="s">
        <v>30</v>
      </c>
      <c r="S273" s="203">
        <v>0</v>
      </c>
      <c r="T273" s="204">
        <f>M273*S273</f>
        <v>0</v>
      </c>
      <c r="U273" s="204">
        <f>P273-S273</f>
        <v>0</v>
      </c>
      <c r="V273" s="194"/>
      <c r="W273" s="205"/>
      <c r="X273" s="192"/>
      <c r="Y273" s="206"/>
      <c r="Z273" s="206"/>
      <c r="AA273" s="208"/>
      <c r="AB273" s="206"/>
      <c r="AC273" s="207"/>
      <c r="AD273" s="207">
        <f t="shared" si="102"/>
        <v>7</v>
      </c>
      <c r="AE273" s="209">
        <f>AC273-AD273</f>
        <v>-7</v>
      </c>
      <c r="AF273" s="197" t="s">
        <v>54</v>
      </c>
      <c r="AG273" s="197" t="s">
        <v>48</v>
      </c>
      <c r="AH273" s="202">
        <f t="shared" si="55"/>
        <v>0</v>
      </c>
      <c r="AI273" s="210" t="e">
        <f>#REF!+5</f>
        <v>#REF!</v>
      </c>
      <c r="AJ273" s="197" t="s">
        <v>46</v>
      </c>
      <c r="AK273" s="211">
        <f t="shared" si="56"/>
        <v>0</v>
      </c>
      <c r="AL273" s="210">
        <f t="shared" si="115"/>
        <v>90</v>
      </c>
      <c r="AM273" s="197"/>
      <c r="AN273" s="194"/>
      <c r="AO273" s="194"/>
      <c r="AP273" s="194"/>
      <c r="AQ273" s="193"/>
      <c r="AR273" s="193"/>
      <c r="AS273" s="193"/>
      <c r="AT273" s="193"/>
      <c r="AU273" s="193"/>
      <c r="AV273" s="193"/>
      <c r="AW273" s="193"/>
      <c r="AX273" s="193"/>
      <c r="AY273" s="193"/>
      <c r="AZ273" s="193"/>
      <c r="BA273" s="193"/>
      <c r="BB273" s="193"/>
      <c r="BC273" s="376"/>
    </row>
    <row r="274" spans="1:56" s="213" customFormat="1" ht="24.75" customHeight="1">
      <c r="A274" s="197"/>
      <c r="B274" s="198"/>
      <c r="C274" s="198"/>
      <c r="D274" s="193"/>
      <c r="E274" s="194"/>
      <c r="F274" s="194"/>
      <c r="G274" s="194"/>
      <c r="H274" s="200"/>
      <c r="I274" s="215"/>
      <c r="J274" s="194"/>
      <c r="K274" s="197"/>
      <c r="L274" s="194"/>
      <c r="M274" s="194"/>
      <c r="N274" s="194"/>
      <c r="O274" s="193"/>
      <c r="P274" s="203">
        <v>0</v>
      </c>
      <c r="Q274" s="203">
        <f t="shared" si="104"/>
        <v>0</v>
      </c>
      <c r="R274" s="203" t="s">
        <v>30</v>
      </c>
      <c r="S274" s="203">
        <v>0</v>
      </c>
      <c r="T274" s="204">
        <f t="shared" si="105"/>
        <v>0</v>
      </c>
      <c r="U274" s="204">
        <f t="shared" si="106"/>
        <v>0</v>
      </c>
      <c r="V274" s="194"/>
      <c r="W274" s="205"/>
      <c r="X274" s="195"/>
      <c r="Y274" s="207"/>
      <c r="Z274" s="207"/>
      <c r="AA274" s="208"/>
      <c r="AB274" s="206"/>
      <c r="AC274" s="207"/>
      <c r="AD274" s="207">
        <f t="shared" si="102"/>
        <v>7</v>
      </c>
      <c r="AE274" s="209">
        <f t="shared" si="130"/>
        <v>-7</v>
      </c>
      <c r="AF274" s="197" t="s">
        <v>51</v>
      </c>
      <c r="AG274" s="197" t="s">
        <v>48</v>
      </c>
      <c r="AH274" s="202">
        <f t="shared" si="55"/>
        <v>0</v>
      </c>
      <c r="AI274" s="210" t="e">
        <f>#REF!+5</f>
        <v>#REF!</v>
      </c>
      <c r="AJ274" s="197" t="s">
        <v>46</v>
      </c>
      <c r="AK274" s="211">
        <f t="shared" si="56"/>
        <v>0</v>
      </c>
      <c r="AL274" s="210">
        <f t="shared" si="115"/>
        <v>90</v>
      </c>
      <c r="AM274" s="197"/>
      <c r="AN274" s="194"/>
      <c r="AO274" s="195"/>
      <c r="AP274" s="195"/>
      <c r="AQ274" s="193"/>
      <c r="AR274" s="193"/>
      <c r="AS274" s="193"/>
      <c r="AT274" s="193"/>
      <c r="AU274" s="193"/>
      <c r="AV274" s="193"/>
      <c r="AW274" s="193"/>
      <c r="AX274" s="193"/>
      <c r="AY274" s="193"/>
      <c r="AZ274" s="193"/>
      <c r="BA274" s="193"/>
      <c r="BB274" s="193"/>
      <c r="BC274" s="375"/>
    </row>
    <row r="275" spans="1:56" s="213" customFormat="1" ht="24.75" customHeight="1">
      <c r="A275" s="197"/>
      <c r="B275" s="198"/>
      <c r="C275" s="198"/>
      <c r="D275" s="193"/>
      <c r="E275" s="194"/>
      <c r="F275" s="194"/>
      <c r="G275" s="194"/>
      <c r="H275" s="200"/>
      <c r="I275" s="215"/>
      <c r="J275" s="194"/>
      <c r="K275" s="197"/>
      <c r="L275" s="194"/>
      <c r="M275" s="194"/>
      <c r="N275" s="194"/>
      <c r="O275" s="193"/>
      <c r="P275" s="203">
        <v>0</v>
      </c>
      <c r="Q275" s="203">
        <f t="shared" si="104"/>
        <v>0</v>
      </c>
      <c r="R275" s="203" t="s">
        <v>30</v>
      </c>
      <c r="S275" s="203">
        <v>0</v>
      </c>
      <c r="T275" s="204">
        <f t="shared" si="105"/>
        <v>0</v>
      </c>
      <c r="U275" s="204">
        <f t="shared" si="106"/>
        <v>0</v>
      </c>
      <c r="V275" s="194"/>
      <c r="W275" s="205"/>
      <c r="X275" s="195"/>
      <c r="Y275" s="207"/>
      <c r="Z275" s="207"/>
      <c r="AA275" s="208"/>
      <c r="AB275" s="206"/>
      <c r="AC275" s="207"/>
      <c r="AD275" s="207">
        <f t="shared" si="102"/>
        <v>7</v>
      </c>
      <c r="AE275" s="209">
        <f t="shared" si="130"/>
        <v>-7</v>
      </c>
      <c r="AF275" s="197" t="s">
        <v>51</v>
      </c>
      <c r="AG275" s="197" t="s">
        <v>48</v>
      </c>
      <c r="AH275" s="202">
        <f t="shared" si="55"/>
        <v>0</v>
      </c>
      <c r="AI275" s="210" t="e">
        <f>#REF!+5</f>
        <v>#REF!</v>
      </c>
      <c r="AJ275" s="197" t="s">
        <v>46</v>
      </c>
      <c r="AK275" s="211">
        <f t="shared" si="56"/>
        <v>0</v>
      </c>
      <c r="AL275" s="210">
        <f t="shared" si="115"/>
        <v>90</v>
      </c>
      <c r="AM275" s="197"/>
      <c r="AN275" s="194"/>
      <c r="AO275" s="195"/>
      <c r="AP275" s="195"/>
      <c r="AQ275" s="193"/>
      <c r="AR275" s="193"/>
      <c r="AS275" s="193"/>
      <c r="AT275" s="193"/>
      <c r="AU275" s="193"/>
      <c r="AV275" s="193"/>
      <c r="AW275" s="193"/>
      <c r="AX275" s="193"/>
      <c r="AY275" s="193"/>
      <c r="AZ275" s="193"/>
      <c r="BA275" s="193"/>
      <c r="BB275" s="193"/>
      <c r="BC275" s="375"/>
    </row>
    <row r="276" spans="1:56" s="213" customFormat="1" ht="24.75" customHeight="1">
      <c r="A276" s="197"/>
      <c r="B276" s="198"/>
      <c r="C276" s="198"/>
      <c r="D276" s="193"/>
      <c r="E276" s="194"/>
      <c r="F276" s="194"/>
      <c r="G276" s="194"/>
      <c r="H276" s="200"/>
      <c r="I276" s="200"/>
      <c r="J276" s="194"/>
      <c r="K276" s="197"/>
      <c r="L276" s="194"/>
      <c r="M276" s="194"/>
      <c r="N276" s="194"/>
      <c r="O276" s="193"/>
      <c r="P276" s="203">
        <v>0</v>
      </c>
      <c r="Q276" s="203">
        <f>M276*P276</f>
        <v>0</v>
      </c>
      <c r="R276" s="203" t="s">
        <v>30</v>
      </c>
      <c r="S276" s="203">
        <v>0</v>
      </c>
      <c r="T276" s="204">
        <f>M276*S276</f>
        <v>0</v>
      </c>
      <c r="U276" s="204">
        <f>P276-S276</f>
        <v>0</v>
      </c>
      <c r="V276" s="194"/>
      <c r="W276" s="205"/>
      <c r="X276" s="195"/>
      <c r="Y276" s="207"/>
      <c r="Z276" s="207"/>
      <c r="AA276" s="208"/>
      <c r="AB276" s="206"/>
      <c r="AC276" s="207"/>
      <c r="AD276" s="207">
        <f t="shared" si="102"/>
        <v>7</v>
      </c>
      <c r="AE276" s="209">
        <f t="shared" si="130"/>
        <v>-7</v>
      </c>
      <c r="AF276" s="197" t="s">
        <v>57</v>
      </c>
      <c r="AG276" s="197" t="s">
        <v>60</v>
      </c>
      <c r="AH276" s="202">
        <f t="shared" si="55"/>
        <v>0</v>
      </c>
      <c r="AI276" s="210" t="e">
        <f>#REF!+5</f>
        <v>#REF!</v>
      </c>
      <c r="AJ276" s="197" t="s">
        <v>46</v>
      </c>
      <c r="AK276" s="211">
        <f t="shared" si="56"/>
        <v>0</v>
      </c>
      <c r="AL276" s="210">
        <f t="shared" si="115"/>
        <v>90</v>
      </c>
      <c r="AM276" s="197"/>
      <c r="AN276" s="194"/>
      <c r="AO276" s="195"/>
      <c r="AP276" s="195"/>
      <c r="AQ276" s="193"/>
      <c r="AR276" s="193"/>
      <c r="AS276" s="193"/>
      <c r="AT276" s="193"/>
      <c r="AU276" s="193"/>
      <c r="AV276" s="193"/>
      <c r="AW276" s="193"/>
      <c r="AX276" s="193"/>
      <c r="AY276" s="193"/>
      <c r="AZ276" s="193"/>
      <c r="BA276" s="193"/>
      <c r="BB276" s="193"/>
      <c r="BC276" s="375"/>
      <c r="BD276" s="236"/>
    </row>
    <row r="277" spans="1:56" s="213" customFormat="1" ht="24.75" customHeight="1">
      <c r="A277" s="197"/>
      <c r="B277" s="198"/>
      <c r="C277" s="198"/>
      <c r="D277" s="193"/>
      <c r="E277" s="194"/>
      <c r="F277" s="194"/>
      <c r="G277" s="194"/>
      <c r="H277" s="200"/>
      <c r="I277" s="215"/>
      <c r="J277" s="194"/>
      <c r="K277" s="197"/>
      <c r="L277" s="194"/>
      <c r="M277" s="194"/>
      <c r="N277" s="194"/>
      <c r="O277" s="193"/>
      <c r="P277" s="203">
        <v>0</v>
      </c>
      <c r="Q277" s="203">
        <f>M277*P277</f>
        <v>0</v>
      </c>
      <c r="R277" s="203" t="s">
        <v>30</v>
      </c>
      <c r="S277" s="203">
        <v>0</v>
      </c>
      <c r="T277" s="204">
        <f>M277*S277</f>
        <v>0</v>
      </c>
      <c r="U277" s="204">
        <f>P277-S277</f>
        <v>0</v>
      </c>
      <c r="V277" s="194"/>
      <c r="W277" s="205"/>
      <c r="X277" s="195"/>
      <c r="Y277" s="207"/>
      <c r="Z277" s="207"/>
      <c r="AA277" s="208"/>
      <c r="AB277" s="206"/>
      <c r="AC277" s="207"/>
      <c r="AD277" s="207">
        <f t="shared" si="102"/>
        <v>7</v>
      </c>
      <c r="AE277" s="209">
        <f t="shared" si="130"/>
        <v>-7</v>
      </c>
      <c r="AF277" s="197" t="s">
        <v>51</v>
      </c>
      <c r="AG277" s="197" t="s">
        <v>48</v>
      </c>
      <c r="AH277" s="202">
        <f t="shared" ref="AH277:AH340" si="131">L277-M277</f>
        <v>0</v>
      </c>
      <c r="AI277" s="210" t="e">
        <f>#REF!+5</f>
        <v>#REF!</v>
      </c>
      <c r="AJ277" s="197" t="s">
        <v>46</v>
      </c>
      <c r="AK277" s="211">
        <f t="shared" ref="AK277:AK340" si="132">Y277-I277</f>
        <v>0</v>
      </c>
      <c r="AL277" s="210">
        <f t="shared" si="115"/>
        <v>90</v>
      </c>
      <c r="AM277" s="197"/>
      <c r="AN277" s="194"/>
      <c r="AO277" s="195"/>
      <c r="AP277" s="195"/>
      <c r="AQ277" s="193"/>
      <c r="AR277" s="193"/>
      <c r="AS277" s="193"/>
      <c r="AT277" s="193"/>
      <c r="AU277" s="193"/>
      <c r="AV277" s="193"/>
      <c r="AW277" s="193"/>
      <c r="AX277" s="193"/>
      <c r="AY277" s="193"/>
      <c r="AZ277" s="193"/>
      <c r="BA277" s="193"/>
      <c r="BB277" s="193"/>
      <c r="BC277" s="375"/>
    </row>
    <row r="278" spans="1:56" s="213" customFormat="1" ht="24.75" customHeight="1">
      <c r="A278" s="197"/>
      <c r="B278" s="198"/>
      <c r="C278" s="198"/>
      <c r="D278" s="193"/>
      <c r="E278" s="194"/>
      <c r="F278" s="194"/>
      <c r="G278" s="194"/>
      <c r="H278" s="200"/>
      <c r="I278" s="215"/>
      <c r="J278" s="194"/>
      <c r="K278" s="197"/>
      <c r="L278" s="194"/>
      <c r="M278" s="194"/>
      <c r="N278" s="194"/>
      <c r="O278" s="193"/>
      <c r="P278" s="203">
        <v>0</v>
      </c>
      <c r="Q278" s="203">
        <f>M278*P278</f>
        <v>0</v>
      </c>
      <c r="R278" s="203" t="s">
        <v>30</v>
      </c>
      <c r="S278" s="203">
        <v>0</v>
      </c>
      <c r="T278" s="204">
        <f>M278*S278</f>
        <v>0</v>
      </c>
      <c r="U278" s="204">
        <f>P278-S278</f>
        <v>0</v>
      </c>
      <c r="V278" s="194"/>
      <c r="W278" s="205"/>
      <c r="X278" s="195"/>
      <c r="Y278" s="207"/>
      <c r="Z278" s="207"/>
      <c r="AA278" s="208"/>
      <c r="AB278" s="206"/>
      <c r="AC278" s="207"/>
      <c r="AD278" s="207">
        <f t="shared" si="102"/>
        <v>7</v>
      </c>
      <c r="AE278" s="209">
        <f t="shared" si="130"/>
        <v>-7</v>
      </c>
      <c r="AF278" s="197" t="s">
        <v>51</v>
      </c>
      <c r="AG278" s="197" t="s">
        <v>48</v>
      </c>
      <c r="AH278" s="202">
        <f t="shared" si="131"/>
        <v>0</v>
      </c>
      <c r="AI278" s="210" t="e">
        <f>#REF!+5</f>
        <v>#REF!</v>
      </c>
      <c r="AJ278" s="197" t="s">
        <v>46</v>
      </c>
      <c r="AK278" s="211">
        <f t="shared" si="132"/>
        <v>0</v>
      </c>
      <c r="AL278" s="210">
        <f t="shared" si="115"/>
        <v>90</v>
      </c>
      <c r="AM278" s="197"/>
      <c r="AN278" s="194"/>
      <c r="AO278" s="195"/>
      <c r="AP278" s="195"/>
      <c r="AQ278" s="193"/>
      <c r="AR278" s="193"/>
      <c r="AS278" s="193"/>
      <c r="AT278" s="193"/>
      <c r="AU278" s="193"/>
      <c r="AV278" s="193"/>
      <c r="AW278" s="193"/>
      <c r="AX278" s="193"/>
      <c r="AY278" s="193"/>
      <c r="AZ278" s="193"/>
      <c r="BA278" s="193"/>
      <c r="BB278" s="193"/>
      <c r="BC278" s="375"/>
    </row>
    <row r="279" spans="1:56" s="213" customFormat="1" ht="24.75" customHeight="1">
      <c r="A279" s="197"/>
      <c r="B279" s="198"/>
      <c r="C279" s="198"/>
      <c r="D279" s="193"/>
      <c r="E279" s="194"/>
      <c r="F279" s="194"/>
      <c r="G279" s="194"/>
      <c r="H279" s="200"/>
      <c r="I279" s="215"/>
      <c r="J279" s="197"/>
      <c r="K279" s="197"/>
      <c r="L279" s="194"/>
      <c r="M279" s="194"/>
      <c r="N279" s="194"/>
      <c r="O279" s="193"/>
      <c r="P279" s="203">
        <v>0</v>
      </c>
      <c r="Q279" s="203">
        <f>M279*P279</f>
        <v>0</v>
      </c>
      <c r="R279" s="203" t="s">
        <v>30</v>
      </c>
      <c r="S279" s="203">
        <v>0</v>
      </c>
      <c r="T279" s="204">
        <f>M279*S279</f>
        <v>0</v>
      </c>
      <c r="U279" s="204">
        <f>P279-S279</f>
        <v>0</v>
      </c>
      <c r="V279" s="194"/>
      <c r="W279" s="205"/>
      <c r="X279" s="195"/>
      <c r="Y279" s="207"/>
      <c r="Z279" s="207"/>
      <c r="AA279" s="208"/>
      <c r="AB279" s="206"/>
      <c r="AC279" s="207"/>
      <c r="AD279" s="207">
        <f t="shared" si="102"/>
        <v>7</v>
      </c>
      <c r="AE279" s="209">
        <f t="shared" si="130"/>
        <v>-7</v>
      </c>
      <c r="AF279" s="197" t="s">
        <v>57</v>
      </c>
      <c r="AG279" s="197" t="s">
        <v>55</v>
      </c>
      <c r="AH279" s="202">
        <f t="shared" si="131"/>
        <v>0</v>
      </c>
      <c r="AI279" s="210" t="e">
        <f>#REF!+5</f>
        <v>#REF!</v>
      </c>
      <c r="AJ279" s="197" t="s">
        <v>46</v>
      </c>
      <c r="AK279" s="211">
        <f t="shared" si="132"/>
        <v>0</v>
      </c>
      <c r="AL279" s="210">
        <f t="shared" si="115"/>
        <v>90</v>
      </c>
      <c r="AM279" s="197"/>
      <c r="AN279" s="194"/>
      <c r="AO279" s="195"/>
      <c r="AP279" s="195"/>
      <c r="AQ279" s="193"/>
      <c r="AR279" s="193"/>
      <c r="AS279" s="193"/>
      <c r="AT279" s="193"/>
      <c r="AU279" s="193"/>
      <c r="AV279" s="193"/>
      <c r="AW279" s="193"/>
      <c r="AX279" s="193"/>
      <c r="AY279" s="193"/>
      <c r="AZ279" s="193"/>
      <c r="BA279" s="193"/>
      <c r="BB279" s="193"/>
    </row>
    <row r="280" spans="1:56" s="213" customFormat="1" ht="24.75" customHeight="1">
      <c r="A280" s="197"/>
      <c r="B280" s="198"/>
      <c r="C280" s="198"/>
      <c r="D280" s="193"/>
      <c r="E280" s="194"/>
      <c r="F280" s="194"/>
      <c r="G280" s="194"/>
      <c r="H280" s="200"/>
      <c r="I280" s="215"/>
      <c r="J280" s="197"/>
      <c r="K280" s="197"/>
      <c r="L280" s="194"/>
      <c r="M280" s="194"/>
      <c r="N280" s="194"/>
      <c r="O280" s="193"/>
      <c r="P280" s="203">
        <v>0</v>
      </c>
      <c r="Q280" s="203">
        <f t="shared" ref="Q280:Q281" si="133">M280*P280</f>
        <v>0</v>
      </c>
      <c r="R280" s="203" t="s">
        <v>30</v>
      </c>
      <c r="S280" s="203">
        <v>0</v>
      </c>
      <c r="T280" s="204">
        <f t="shared" ref="T280:T281" si="134">M280*S280</f>
        <v>0</v>
      </c>
      <c r="U280" s="204">
        <f t="shared" ref="U280:U281" si="135">P280-S280</f>
        <v>0</v>
      </c>
      <c r="V280" s="194"/>
      <c r="W280" s="205"/>
      <c r="X280" s="195"/>
      <c r="Y280" s="207"/>
      <c r="Z280" s="207"/>
      <c r="AA280" s="208"/>
      <c r="AB280" s="206"/>
      <c r="AC280" s="207"/>
      <c r="AD280" s="207">
        <f t="shared" ref="AD280:AD281" si="136">Y280+7</f>
        <v>7</v>
      </c>
      <c r="AE280" s="209">
        <f t="shared" ref="AE280:AE281" si="137">AC280-AD280</f>
        <v>-7</v>
      </c>
      <c r="AF280" s="197" t="s">
        <v>57</v>
      </c>
      <c r="AG280" s="197" t="s">
        <v>48</v>
      </c>
      <c r="AH280" s="202">
        <f t="shared" si="131"/>
        <v>0</v>
      </c>
      <c r="AI280" s="210" t="e">
        <f>#REF!+5</f>
        <v>#REF!</v>
      </c>
      <c r="AJ280" s="197" t="s">
        <v>46</v>
      </c>
      <c r="AK280" s="211">
        <f t="shared" si="132"/>
        <v>0</v>
      </c>
      <c r="AL280" s="210">
        <f t="shared" si="115"/>
        <v>90</v>
      </c>
      <c r="AM280" s="197"/>
      <c r="AN280" s="194"/>
      <c r="AO280" s="195"/>
      <c r="AP280" s="195"/>
      <c r="AQ280" s="193"/>
      <c r="AR280" s="193"/>
      <c r="AS280" s="193"/>
      <c r="AT280" s="193"/>
      <c r="AU280" s="193"/>
      <c r="AV280" s="193"/>
      <c r="AW280" s="193"/>
      <c r="AX280" s="193"/>
      <c r="AY280" s="193"/>
      <c r="AZ280" s="193"/>
      <c r="BA280" s="193"/>
      <c r="BB280" s="193"/>
      <c r="BC280" s="375"/>
    </row>
    <row r="281" spans="1:56" s="213" customFormat="1" ht="24.75" customHeight="1">
      <c r="A281" s="197"/>
      <c r="B281" s="198"/>
      <c r="C281" s="198"/>
      <c r="D281" s="193"/>
      <c r="E281" s="194"/>
      <c r="F281" s="194"/>
      <c r="G281" s="194"/>
      <c r="H281" s="200"/>
      <c r="I281" s="215"/>
      <c r="J281" s="197"/>
      <c r="K281" s="197"/>
      <c r="L281" s="194"/>
      <c r="M281" s="194"/>
      <c r="N281" s="194"/>
      <c r="O281" s="193"/>
      <c r="P281" s="203">
        <v>0</v>
      </c>
      <c r="Q281" s="203">
        <f t="shared" si="133"/>
        <v>0</v>
      </c>
      <c r="R281" s="203" t="s">
        <v>30</v>
      </c>
      <c r="S281" s="203">
        <v>0</v>
      </c>
      <c r="T281" s="204">
        <f t="shared" si="134"/>
        <v>0</v>
      </c>
      <c r="U281" s="204">
        <f t="shared" si="135"/>
        <v>0</v>
      </c>
      <c r="V281" s="194"/>
      <c r="W281" s="205"/>
      <c r="X281" s="195"/>
      <c r="Y281" s="207"/>
      <c r="Z281" s="207"/>
      <c r="AA281" s="208"/>
      <c r="AB281" s="206"/>
      <c r="AC281" s="207"/>
      <c r="AD281" s="207">
        <f t="shared" si="136"/>
        <v>7</v>
      </c>
      <c r="AE281" s="209">
        <f t="shared" si="137"/>
        <v>-7</v>
      </c>
      <c r="AF281" s="197" t="s">
        <v>57</v>
      </c>
      <c r="AG281" s="197" t="s">
        <v>48</v>
      </c>
      <c r="AH281" s="202">
        <f t="shared" si="131"/>
        <v>0</v>
      </c>
      <c r="AI281" s="210" t="e">
        <f>#REF!+5</f>
        <v>#REF!</v>
      </c>
      <c r="AJ281" s="197" t="s">
        <v>46</v>
      </c>
      <c r="AK281" s="211">
        <f t="shared" si="132"/>
        <v>0</v>
      </c>
      <c r="AL281" s="210">
        <f t="shared" si="115"/>
        <v>90</v>
      </c>
      <c r="AM281" s="197"/>
      <c r="AN281" s="194"/>
      <c r="AO281" s="195"/>
      <c r="AP281" s="195"/>
      <c r="AQ281" s="193"/>
      <c r="AR281" s="193"/>
      <c r="AS281" s="193"/>
      <c r="AT281" s="193"/>
      <c r="AU281" s="193"/>
      <c r="AV281" s="193"/>
      <c r="AW281" s="193"/>
      <c r="AX281" s="193"/>
      <c r="AY281" s="193"/>
      <c r="AZ281" s="193"/>
      <c r="BA281" s="193"/>
      <c r="BB281" s="193"/>
      <c r="BC281" s="375"/>
    </row>
    <row r="282" spans="1:56" s="213" customFormat="1" ht="24.75" customHeight="1">
      <c r="A282" s="197"/>
      <c r="B282" s="198"/>
      <c r="C282" s="198"/>
      <c r="D282" s="193"/>
      <c r="E282" s="194"/>
      <c r="F282" s="194"/>
      <c r="G282" s="194"/>
      <c r="H282" s="200"/>
      <c r="I282" s="215"/>
      <c r="J282" s="197"/>
      <c r="K282" s="197"/>
      <c r="L282" s="194"/>
      <c r="M282" s="194"/>
      <c r="N282" s="194"/>
      <c r="O282" s="193"/>
      <c r="P282" s="203">
        <v>0</v>
      </c>
      <c r="Q282" s="203">
        <f t="shared" ref="Q282:Q290" si="138">M282*P282</f>
        <v>0</v>
      </c>
      <c r="R282" s="203" t="s">
        <v>30</v>
      </c>
      <c r="S282" s="203">
        <v>0</v>
      </c>
      <c r="T282" s="204">
        <f t="shared" ref="T282:T290" si="139">M282*S282</f>
        <v>0</v>
      </c>
      <c r="U282" s="204">
        <f t="shared" ref="U282:U290" si="140">P282-S282</f>
        <v>0</v>
      </c>
      <c r="V282" s="194"/>
      <c r="W282" s="205"/>
      <c r="X282" s="195"/>
      <c r="Y282" s="207"/>
      <c r="Z282" s="207"/>
      <c r="AA282" s="208"/>
      <c r="AB282" s="206"/>
      <c r="AC282" s="207"/>
      <c r="AD282" s="207">
        <f t="shared" si="102"/>
        <v>7</v>
      </c>
      <c r="AE282" s="209">
        <f t="shared" si="130"/>
        <v>-7</v>
      </c>
      <c r="AF282" s="197" t="s">
        <v>57</v>
      </c>
      <c r="AG282" s="197" t="s">
        <v>48</v>
      </c>
      <c r="AH282" s="202">
        <f t="shared" si="131"/>
        <v>0</v>
      </c>
      <c r="AI282" s="210" t="e">
        <f>#REF!+5</f>
        <v>#REF!</v>
      </c>
      <c r="AJ282" s="197" t="s">
        <v>46</v>
      </c>
      <c r="AK282" s="211">
        <f t="shared" si="132"/>
        <v>0</v>
      </c>
      <c r="AL282" s="210">
        <f t="shared" si="115"/>
        <v>90</v>
      </c>
      <c r="AM282" s="197"/>
      <c r="AN282" s="194"/>
      <c r="AO282" s="195"/>
      <c r="AP282" s="195"/>
      <c r="AQ282" s="193"/>
      <c r="AR282" s="193"/>
      <c r="AS282" s="193"/>
      <c r="AT282" s="193"/>
      <c r="AU282" s="193"/>
      <c r="AV282" s="193"/>
      <c r="AW282" s="193"/>
      <c r="AX282" s="193"/>
      <c r="AY282" s="193"/>
      <c r="AZ282" s="193"/>
      <c r="BA282" s="193"/>
      <c r="BB282" s="193"/>
      <c r="BC282" s="375"/>
    </row>
    <row r="283" spans="1:56" s="213" customFormat="1" ht="24.75" customHeight="1">
      <c r="A283" s="197"/>
      <c r="B283" s="198"/>
      <c r="C283" s="198"/>
      <c r="D283" s="193"/>
      <c r="E283" s="198"/>
      <c r="F283" s="214"/>
      <c r="G283" s="198"/>
      <c r="H283" s="200"/>
      <c r="I283" s="215"/>
      <c r="J283" s="197"/>
      <c r="K283" s="197"/>
      <c r="L283" s="201"/>
      <c r="M283" s="230"/>
      <c r="N283" s="202"/>
      <c r="O283" s="193"/>
      <c r="P283" s="203">
        <v>0</v>
      </c>
      <c r="Q283" s="203">
        <f t="shared" si="138"/>
        <v>0</v>
      </c>
      <c r="R283" s="203" t="s">
        <v>30</v>
      </c>
      <c r="S283" s="203">
        <v>0</v>
      </c>
      <c r="T283" s="204">
        <f t="shared" si="139"/>
        <v>0</v>
      </c>
      <c r="U283" s="204">
        <f t="shared" si="140"/>
        <v>0</v>
      </c>
      <c r="V283" s="197"/>
      <c r="W283" s="205"/>
      <c r="X283" s="195"/>
      <c r="Y283" s="206"/>
      <c r="Z283" s="207"/>
      <c r="AA283" s="208"/>
      <c r="AB283" s="206"/>
      <c r="AC283" s="206"/>
      <c r="AD283" s="207">
        <f t="shared" si="102"/>
        <v>7</v>
      </c>
      <c r="AE283" s="209">
        <f t="shared" si="130"/>
        <v>-7</v>
      </c>
      <c r="AF283" s="197" t="s">
        <v>57</v>
      </c>
      <c r="AG283" s="197" t="s">
        <v>48</v>
      </c>
      <c r="AH283" s="202">
        <f t="shared" si="131"/>
        <v>0</v>
      </c>
      <c r="AI283" s="210" t="e">
        <f>#REF!+5</f>
        <v>#REF!</v>
      </c>
      <c r="AJ283" s="197" t="s">
        <v>46</v>
      </c>
      <c r="AK283" s="211">
        <f t="shared" si="132"/>
        <v>0</v>
      </c>
      <c r="AL283" s="210">
        <f t="shared" si="115"/>
        <v>90</v>
      </c>
      <c r="AM283" s="197"/>
      <c r="AN283" s="194"/>
      <c r="AO283" s="195"/>
      <c r="AP283" s="195"/>
      <c r="AQ283" s="193"/>
      <c r="AR283" s="193"/>
      <c r="AS283" s="193"/>
      <c r="AT283" s="193"/>
      <c r="AU283" s="193"/>
      <c r="AV283" s="193"/>
      <c r="AW283" s="193"/>
      <c r="AX283" s="193"/>
      <c r="AY283" s="193"/>
      <c r="AZ283" s="193"/>
      <c r="BA283" s="193"/>
      <c r="BB283" s="193"/>
      <c r="BC283" s="375"/>
    </row>
    <row r="284" spans="1:56" s="213" customFormat="1" ht="24.75" customHeight="1">
      <c r="A284" s="197"/>
      <c r="B284" s="198"/>
      <c r="C284" s="198"/>
      <c r="D284" s="193"/>
      <c r="E284" s="198"/>
      <c r="F284" s="214"/>
      <c r="G284" s="198"/>
      <c r="H284" s="200"/>
      <c r="I284" s="200"/>
      <c r="J284" s="197"/>
      <c r="K284" s="197"/>
      <c r="L284" s="201"/>
      <c r="M284" s="230"/>
      <c r="N284" s="202"/>
      <c r="O284" s="193"/>
      <c r="P284" s="203">
        <v>0</v>
      </c>
      <c r="Q284" s="203">
        <f t="shared" si="138"/>
        <v>0</v>
      </c>
      <c r="R284" s="203" t="s">
        <v>30</v>
      </c>
      <c r="S284" s="203">
        <v>0</v>
      </c>
      <c r="T284" s="204">
        <f t="shared" si="139"/>
        <v>0</v>
      </c>
      <c r="U284" s="204">
        <f t="shared" si="140"/>
        <v>0</v>
      </c>
      <c r="V284" s="197"/>
      <c r="W284" s="205"/>
      <c r="X284" s="195"/>
      <c r="Y284" s="206"/>
      <c r="Z284" s="207"/>
      <c r="AA284" s="208"/>
      <c r="AB284" s="206"/>
      <c r="AC284" s="206"/>
      <c r="AD284" s="207">
        <f t="shared" si="102"/>
        <v>7</v>
      </c>
      <c r="AE284" s="209">
        <f t="shared" si="130"/>
        <v>-7</v>
      </c>
      <c r="AF284" s="197" t="s">
        <v>57</v>
      </c>
      <c r="AG284" s="197" t="s">
        <v>52</v>
      </c>
      <c r="AH284" s="202">
        <f t="shared" si="131"/>
        <v>0</v>
      </c>
      <c r="AI284" s="210" t="e">
        <f>#REF!+5</f>
        <v>#REF!</v>
      </c>
      <c r="AJ284" s="197" t="s">
        <v>46</v>
      </c>
      <c r="AK284" s="211">
        <f t="shared" si="132"/>
        <v>0</v>
      </c>
      <c r="AL284" s="210">
        <f t="shared" si="115"/>
        <v>90</v>
      </c>
      <c r="AM284" s="197"/>
      <c r="AN284" s="194"/>
      <c r="AO284" s="195"/>
      <c r="AP284" s="195"/>
      <c r="AQ284" s="193"/>
      <c r="AR284" s="193"/>
      <c r="AS284" s="193"/>
      <c r="AT284" s="193"/>
      <c r="AU284" s="193"/>
      <c r="AV284" s="193"/>
      <c r="AW284" s="193"/>
      <c r="AX284" s="193"/>
      <c r="AY284" s="193"/>
      <c r="AZ284" s="193"/>
      <c r="BA284" s="193"/>
      <c r="BB284" s="193"/>
    </row>
    <row r="285" spans="1:56" s="213" customFormat="1" ht="24.75" customHeight="1">
      <c r="A285" s="197"/>
      <c r="B285" s="198"/>
      <c r="C285" s="198"/>
      <c r="D285" s="193"/>
      <c r="E285" s="216"/>
      <c r="F285" s="214"/>
      <c r="G285" s="235"/>
      <c r="H285" s="200"/>
      <c r="I285" s="215"/>
      <c r="J285" s="197"/>
      <c r="K285" s="197"/>
      <c r="L285" s="218"/>
      <c r="M285" s="218"/>
      <c r="N285" s="202"/>
      <c r="O285" s="193"/>
      <c r="P285" s="203">
        <v>0</v>
      </c>
      <c r="Q285" s="203">
        <f t="shared" si="138"/>
        <v>0</v>
      </c>
      <c r="R285" s="203" t="s">
        <v>30</v>
      </c>
      <c r="S285" s="203">
        <v>0</v>
      </c>
      <c r="T285" s="204">
        <f t="shared" si="139"/>
        <v>0</v>
      </c>
      <c r="U285" s="204">
        <f t="shared" si="140"/>
        <v>0</v>
      </c>
      <c r="V285" s="197"/>
      <c r="W285" s="205"/>
      <c r="X285" s="195"/>
      <c r="Y285" s="217"/>
      <c r="Z285" s="207"/>
      <c r="AA285" s="208"/>
      <c r="AB285" s="206"/>
      <c r="AC285" s="206"/>
      <c r="AD285" s="207">
        <f>Y285+7</f>
        <v>7</v>
      </c>
      <c r="AE285" s="209">
        <f t="shared" si="130"/>
        <v>-7</v>
      </c>
      <c r="AF285" s="197" t="s">
        <v>50</v>
      </c>
      <c r="AG285" s="197" t="s">
        <v>49</v>
      </c>
      <c r="AH285" s="202">
        <f t="shared" si="131"/>
        <v>0</v>
      </c>
      <c r="AI285" s="210" t="e">
        <f>#REF!+5</f>
        <v>#REF!</v>
      </c>
      <c r="AJ285" s="197" t="s">
        <v>46</v>
      </c>
      <c r="AK285" s="211">
        <f t="shared" si="132"/>
        <v>0</v>
      </c>
      <c r="AL285" s="210">
        <f t="shared" si="115"/>
        <v>90</v>
      </c>
      <c r="AM285" s="197"/>
      <c r="AN285" s="194"/>
      <c r="AO285" s="202"/>
      <c r="AP285" s="202"/>
      <c r="AQ285" s="193"/>
      <c r="AR285" s="193"/>
      <c r="AS285" s="193"/>
      <c r="AT285" s="193"/>
      <c r="AU285" s="193"/>
      <c r="AV285" s="193"/>
      <c r="AW285" s="193"/>
      <c r="AX285" s="193"/>
      <c r="AY285" s="193"/>
      <c r="AZ285" s="193"/>
      <c r="BA285" s="193"/>
      <c r="BB285" s="193"/>
      <c r="BC285" s="376"/>
    </row>
    <row r="286" spans="1:56" s="213" customFormat="1" ht="24.75" customHeight="1">
      <c r="A286" s="197"/>
      <c r="B286" s="198"/>
      <c r="C286" s="198"/>
      <c r="D286" s="193"/>
      <c r="E286" s="216"/>
      <c r="F286" s="214"/>
      <c r="G286" s="235"/>
      <c r="H286" s="200"/>
      <c r="I286" s="215"/>
      <c r="J286" s="197"/>
      <c r="K286" s="197"/>
      <c r="L286" s="218"/>
      <c r="M286" s="218"/>
      <c r="N286" s="202"/>
      <c r="O286" s="193"/>
      <c r="P286" s="203">
        <v>0</v>
      </c>
      <c r="Q286" s="203">
        <f t="shared" si="138"/>
        <v>0</v>
      </c>
      <c r="R286" s="203" t="s">
        <v>30</v>
      </c>
      <c r="S286" s="203">
        <v>0</v>
      </c>
      <c r="T286" s="204">
        <f t="shared" si="139"/>
        <v>0</v>
      </c>
      <c r="U286" s="204">
        <f t="shared" si="140"/>
        <v>0</v>
      </c>
      <c r="V286" s="197"/>
      <c r="W286" s="205"/>
      <c r="X286" s="195"/>
      <c r="Y286" s="217"/>
      <c r="Z286" s="207"/>
      <c r="AA286" s="208"/>
      <c r="AB286" s="206"/>
      <c r="AC286" s="206"/>
      <c r="AD286" s="207">
        <f t="shared" si="102"/>
        <v>7</v>
      </c>
      <c r="AE286" s="209">
        <f t="shared" si="130"/>
        <v>-7</v>
      </c>
      <c r="AF286" s="197" t="s">
        <v>50</v>
      </c>
      <c r="AG286" s="197" t="s">
        <v>49</v>
      </c>
      <c r="AH286" s="202">
        <f t="shared" si="131"/>
        <v>0</v>
      </c>
      <c r="AI286" s="210" t="e">
        <f>#REF!+5</f>
        <v>#REF!</v>
      </c>
      <c r="AJ286" s="197" t="s">
        <v>46</v>
      </c>
      <c r="AK286" s="211">
        <f t="shared" si="132"/>
        <v>0</v>
      </c>
      <c r="AL286" s="210">
        <f t="shared" si="115"/>
        <v>90</v>
      </c>
      <c r="AM286" s="197"/>
      <c r="AN286" s="194"/>
      <c r="AO286" s="202"/>
      <c r="AP286" s="202"/>
      <c r="AQ286" s="193"/>
      <c r="AR286" s="193"/>
      <c r="AS286" s="193"/>
      <c r="AT286" s="193"/>
      <c r="AU286" s="193"/>
      <c r="AV286" s="193"/>
      <c r="AW286" s="193"/>
      <c r="AX286" s="193"/>
      <c r="AY286" s="193"/>
      <c r="AZ286" s="193"/>
      <c r="BA286" s="193"/>
      <c r="BB286" s="193"/>
      <c r="BC286" s="376"/>
    </row>
    <row r="287" spans="1:56" s="213" customFormat="1" ht="24.75" customHeight="1">
      <c r="A287" s="197"/>
      <c r="B287" s="198"/>
      <c r="C287" s="198"/>
      <c r="D287" s="193"/>
      <c r="E287" s="216"/>
      <c r="F287" s="214"/>
      <c r="G287" s="235"/>
      <c r="H287" s="200"/>
      <c r="I287" s="215"/>
      <c r="J287" s="197"/>
      <c r="K287" s="197"/>
      <c r="L287" s="218"/>
      <c r="M287" s="218"/>
      <c r="N287" s="202"/>
      <c r="O287" s="193"/>
      <c r="P287" s="203">
        <v>0</v>
      </c>
      <c r="Q287" s="203">
        <f t="shared" si="138"/>
        <v>0</v>
      </c>
      <c r="R287" s="203" t="s">
        <v>30</v>
      </c>
      <c r="S287" s="203">
        <v>0</v>
      </c>
      <c r="T287" s="204">
        <f t="shared" si="139"/>
        <v>0</v>
      </c>
      <c r="U287" s="204">
        <f t="shared" si="140"/>
        <v>0</v>
      </c>
      <c r="V287" s="197"/>
      <c r="W287" s="205"/>
      <c r="X287" s="195"/>
      <c r="Y287" s="217"/>
      <c r="Z287" s="207"/>
      <c r="AA287" s="208"/>
      <c r="AB287" s="206"/>
      <c r="AC287" s="206"/>
      <c r="AD287" s="207">
        <f t="shared" si="102"/>
        <v>7</v>
      </c>
      <c r="AE287" s="209">
        <f t="shared" si="130"/>
        <v>-7</v>
      </c>
      <c r="AF287" s="197" t="s">
        <v>50</v>
      </c>
      <c r="AG287" s="197" t="s">
        <v>49</v>
      </c>
      <c r="AH287" s="202">
        <f t="shared" si="131"/>
        <v>0</v>
      </c>
      <c r="AI287" s="210" t="e">
        <f>#REF!+5</f>
        <v>#REF!</v>
      </c>
      <c r="AJ287" s="197" t="s">
        <v>46</v>
      </c>
      <c r="AK287" s="211">
        <f t="shared" si="132"/>
        <v>0</v>
      </c>
      <c r="AL287" s="210">
        <f t="shared" si="115"/>
        <v>90</v>
      </c>
      <c r="AM287" s="192"/>
      <c r="AN287" s="194"/>
      <c r="AO287" s="202"/>
      <c r="AP287" s="202"/>
      <c r="AQ287" s="193"/>
      <c r="AR287" s="193"/>
      <c r="AS287" s="193"/>
      <c r="AT287" s="193"/>
      <c r="AU287" s="193"/>
      <c r="AV287" s="193"/>
      <c r="AW287" s="193"/>
      <c r="AX287" s="193"/>
      <c r="AY287" s="193"/>
      <c r="AZ287" s="193"/>
      <c r="BA287" s="193"/>
      <c r="BB287" s="193"/>
      <c r="BC287" s="376"/>
    </row>
    <row r="288" spans="1:56" s="213" customFormat="1" ht="24.75" customHeight="1">
      <c r="A288" s="197"/>
      <c r="B288" s="198"/>
      <c r="C288" s="198"/>
      <c r="D288" s="193"/>
      <c r="E288" s="216"/>
      <c r="F288" s="214"/>
      <c r="G288" s="235"/>
      <c r="H288" s="200"/>
      <c r="I288" s="215"/>
      <c r="J288" s="197"/>
      <c r="K288" s="197"/>
      <c r="L288" s="218"/>
      <c r="M288" s="218"/>
      <c r="N288" s="202"/>
      <c r="O288" s="193"/>
      <c r="P288" s="203">
        <v>0</v>
      </c>
      <c r="Q288" s="203">
        <f t="shared" si="138"/>
        <v>0</v>
      </c>
      <c r="R288" s="203" t="s">
        <v>30</v>
      </c>
      <c r="S288" s="203">
        <v>0</v>
      </c>
      <c r="T288" s="204">
        <f>M288*S288</f>
        <v>0</v>
      </c>
      <c r="U288" s="204">
        <f t="shared" si="140"/>
        <v>0</v>
      </c>
      <c r="V288" s="197"/>
      <c r="W288" s="205"/>
      <c r="X288" s="195"/>
      <c r="Y288" s="217"/>
      <c r="Z288" s="207"/>
      <c r="AA288" s="208"/>
      <c r="AB288" s="206"/>
      <c r="AC288" s="206"/>
      <c r="AD288" s="207">
        <f t="shared" si="102"/>
        <v>7</v>
      </c>
      <c r="AE288" s="209">
        <f t="shared" si="130"/>
        <v>-7</v>
      </c>
      <c r="AF288" s="197" t="s">
        <v>50</v>
      </c>
      <c r="AG288" s="197" t="s">
        <v>49</v>
      </c>
      <c r="AH288" s="202">
        <f t="shared" si="131"/>
        <v>0</v>
      </c>
      <c r="AI288" s="210" t="e">
        <f>#REF!+5</f>
        <v>#REF!</v>
      </c>
      <c r="AJ288" s="197" t="s">
        <v>46</v>
      </c>
      <c r="AK288" s="211">
        <f t="shared" si="132"/>
        <v>0</v>
      </c>
      <c r="AL288" s="210">
        <f t="shared" si="115"/>
        <v>90</v>
      </c>
      <c r="AM288" s="192"/>
      <c r="AN288" s="194"/>
      <c r="AO288" s="202"/>
      <c r="AP288" s="202"/>
      <c r="AQ288" s="193"/>
      <c r="AR288" s="193"/>
      <c r="AS288" s="193"/>
      <c r="AT288" s="193"/>
      <c r="AU288" s="193"/>
      <c r="AV288" s="193"/>
      <c r="AW288" s="193"/>
      <c r="AX288" s="193"/>
      <c r="AY288" s="193"/>
      <c r="AZ288" s="193"/>
      <c r="BA288" s="193"/>
      <c r="BB288" s="193"/>
      <c r="BC288" s="376"/>
    </row>
    <row r="289" spans="1:55" s="213" customFormat="1" ht="24" customHeight="1">
      <c r="A289" s="197"/>
      <c r="B289" s="198"/>
      <c r="C289" s="198"/>
      <c r="D289" s="193"/>
      <c r="E289" s="216"/>
      <c r="F289" s="214"/>
      <c r="G289" s="235"/>
      <c r="H289" s="200"/>
      <c r="I289" s="215"/>
      <c r="J289" s="197"/>
      <c r="K289" s="197"/>
      <c r="L289" s="218"/>
      <c r="M289" s="218"/>
      <c r="N289" s="202"/>
      <c r="O289" s="193"/>
      <c r="P289" s="203">
        <v>0</v>
      </c>
      <c r="Q289" s="203">
        <f t="shared" si="138"/>
        <v>0</v>
      </c>
      <c r="R289" s="203" t="s">
        <v>34</v>
      </c>
      <c r="S289" s="203">
        <v>0</v>
      </c>
      <c r="T289" s="204">
        <f t="shared" si="139"/>
        <v>0</v>
      </c>
      <c r="U289" s="204">
        <f t="shared" si="140"/>
        <v>0</v>
      </c>
      <c r="V289" s="197"/>
      <c r="W289" s="205"/>
      <c r="X289" s="195"/>
      <c r="Y289" s="217"/>
      <c r="Z289" s="207"/>
      <c r="AA289" s="208"/>
      <c r="AB289" s="206"/>
      <c r="AC289" s="206"/>
      <c r="AD289" s="207">
        <f t="shared" si="102"/>
        <v>7</v>
      </c>
      <c r="AE289" s="209">
        <f t="shared" si="130"/>
        <v>-7</v>
      </c>
      <c r="AF289" s="197" t="s">
        <v>50</v>
      </c>
      <c r="AG289" s="197" t="s">
        <v>49</v>
      </c>
      <c r="AH289" s="202">
        <f t="shared" si="131"/>
        <v>0</v>
      </c>
      <c r="AI289" s="210" t="e">
        <f>#REF!+5</f>
        <v>#REF!</v>
      </c>
      <c r="AJ289" s="197" t="s">
        <v>46</v>
      </c>
      <c r="AK289" s="211">
        <f t="shared" si="132"/>
        <v>0</v>
      </c>
      <c r="AL289" s="210">
        <f t="shared" si="115"/>
        <v>90</v>
      </c>
      <c r="AM289" s="197"/>
      <c r="AN289" s="194"/>
      <c r="AO289" s="202"/>
      <c r="AP289" s="202"/>
      <c r="AQ289" s="193"/>
      <c r="AR289" s="193"/>
      <c r="AS289" s="193"/>
      <c r="AT289" s="193"/>
      <c r="AU289" s="193"/>
      <c r="AV289" s="193"/>
      <c r="AW289" s="193"/>
      <c r="AX289" s="193"/>
      <c r="AY289" s="193"/>
      <c r="AZ289" s="193"/>
      <c r="BA289" s="193"/>
      <c r="BB289" s="193"/>
      <c r="BC289" s="376"/>
    </row>
    <row r="290" spans="1:55" s="213" customFormat="1" ht="24" customHeight="1">
      <c r="A290" s="197"/>
      <c r="B290" s="198"/>
      <c r="C290" s="198"/>
      <c r="D290" s="193"/>
      <c r="E290" s="216"/>
      <c r="F290" s="214"/>
      <c r="G290" s="235"/>
      <c r="H290" s="200"/>
      <c r="I290" s="215"/>
      <c r="J290" s="197"/>
      <c r="K290" s="197"/>
      <c r="L290" s="218"/>
      <c r="M290" s="218"/>
      <c r="N290" s="202"/>
      <c r="O290" s="193"/>
      <c r="P290" s="203">
        <v>0</v>
      </c>
      <c r="Q290" s="203">
        <f t="shared" si="138"/>
        <v>0</v>
      </c>
      <c r="R290" s="203" t="s">
        <v>34</v>
      </c>
      <c r="S290" s="203">
        <v>0</v>
      </c>
      <c r="T290" s="204">
        <f t="shared" si="139"/>
        <v>0</v>
      </c>
      <c r="U290" s="204">
        <f t="shared" si="140"/>
        <v>0</v>
      </c>
      <c r="V290" s="197"/>
      <c r="W290" s="205"/>
      <c r="X290" s="195"/>
      <c r="Y290" s="217"/>
      <c r="Z290" s="207"/>
      <c r="AA290" s="208"/>
      <c r="AB290" s="206"/>
      <c r="AC290" s="206"/>
      <c r="AD290" s="207">
        <f t="shared" si="102"/>
        <v>7</v>
      </c>
      <c r="AE290" s="209">
        <f t="shared" si="130"/>
        <v>-7</v>
      </c>
      <c r="AF290" s="197" t="s">
        <v>50</v>
      </c>
      <c r="AG290" s="197" t="s">
        <v>49</v>
      </c>
      <c r="AH290" s="202">
        <f t="shared" si="131"/>
        <v>0</v>
      </c>
      <c r="AI290" s="210" t="e">
        <f>#REF!+5</f>
        <v>#REF!</v>
      </c>
      <c r="AJ290" s="197" t="s">
        <v>46</v>
      </c>
      <c r="AK290" s="211">
        <f t="shared" si="132"/>
        <v>0</v>
      </c>
      <c r="AL290" s="210">
        <f t="shared" si="115"/>
        <v>90</v>
      </c>
      <c r="AM290" s="197"/>
      <c r="AN290" s="194"/>
      <c r="AO290" s="202"/>
      <c r="AP290" s="202"/>
      <c r="AQ290" s="193"/>
      <c r="AR290" s="193"/>
      <c r="AS290" s="193"/>
      <c r="AT290" s="193"/>
      <c r="AU290" s="193"/>
      <c r="AV290" s="193"/>
      <c r="AW290" s="193"/>
      <c r="AX290" s="193"/>
      <c r="AY290" s="193"/>
      <c r="AZ290" s="193"/>
      <c r="BA290" s="193"/>
      <c r="BB290" s="193"/>
      <c r="BC290" s="376"/>
    </row>
    <row r="291" spans="1:55" s="213" customFormat="1" ht="24" customHeight="1">
      <c r="A291" s="197"/>
      <c r="B291" s="198"/>
      <c r="C291" s="198"/>
      <c r="D291" s="193"/>
      <c r="E291" s="216"/>
      <c r="F291" s="214"/>
      <c r="G291" s="235"/>
      <c r="H291" s="200"/>
      <c r="I291" s="215"/>
      <c r="J291" s="197"/>
      <c r="K291" s="197"/>
      <c r="L291" s="218"/>
      <c r="M291" s="218"/>
      <c r="N291" s="202"/>
      <c r="O291" s="193"/>
      <c r="P291" s="203">
        <v>0</v>
      </c>
      <c r="Q291" s="203">
        <f t="shared" ref="Q291:Q313" si="141">M291*P291</f>
        <v>0</v>
      </c>
      <c r="R291" s="203" t="s">
        <v>34</v>
      </c>
      <c r="S291" s="203">
        <v>0</v>
      </c>
      <c r="T291" s="204">
        <f t="shared" ref="T291:T313" si="142">M291*S291</f>
        <v>0</v>
      </c>
      <c r="U291" s="204">
        <f t="shared" ref="U291:U313" si="143">P291-S291</f>
        <v>0</v>
      </c>
      <c r="V291" s="197"/>
      <c r="W291" s="205"/>
      <c r="X291" s="195"/>
      <c r="Y291" s="217"/>
      <c r="Z291" s="207"/>
      <c r="AA291" s="208"/>
      <c r="AB291" s="206"/>
      <c r="AC291" s="206"/>
      <c r="AD291" s="207">
        <f t="shared" si="102"/>
        <v>7</v>
      </c>
      <c r="AE291" s="209">
        <f>AC291-AD291</f>
        <v>-7</v>
      </c>
      <c r="AF291" s="197" t="s">
        <v>50</v>
      </c>
      <c r="AG291" s="197" t="s">
        <v>49</v>
      </c>
      <c r="AH291" s="202">
        <f t="shared" si="131"/>
        <v>0</v>
      </c>
      <c r="AI291" s="210" t="e">
        <f>#REF!+5</f>
        <v>#REF!</v>
      </c>
      <c r="AJ291" s="197" t="s">
        <v>46</v>
      </c>
      <c r="AK291" s="211">
        <f t="shared" si="132"/>
        <v>0</v>
      </c>
      <c r="AL291" s="210">
        <f t="shared" si="115"/>
        <v>90</v>
      </c>
      <c r="AM291" s="197"/>
      <c r="AN291" s="194"/>
      <c r="AO291" s="202"/>
      <c r="AP291" s="202"/>
      <c r="AQ291" s="193"/>
      <c r="AR291" s="193"/>
      <c r="AS291" s="193"/>
      <c r="AT291" s="193"/>
      <c r="AU291" s="193"/>
      <c r="AV291" s="193"/>
      <c r="AW291" s="193"/>
      <c r="AX291" s="193"/>
      <c r="AY291" s="193"/>
      <c r="AZ291" s="193"/>
      <c r="BA291" s="193"/>
      <c r="BB291" s="193"/>
      <c r="BC291" s="376"/>
    </row>
    <row r="292" spans="1:55" s="213" customFormat="1" ht="24" customHeight="1">
      <c r="A292" s="197"/>
      <c r="B292" s="198"/>
      <c r="C292" s="198"/>
      <c r="D292" s="193"/>
      <c r="E292" s="216"/>
      <c r="F292" s="214"/>
      <c r="G292" s="235"/>
      <c r="H292" s="200"/>
      <c r="I292" s="215"/>
      <c r="J292" s="197"/>
      <c r="K292" s="197"/>
      <c r="L292" s="218"/>
      <c r="M292" s="218"/>
      <c r="N292" s="202"/>
      <c r="O292" s="193"/>
      <c r="P292" s="203">
        <v>0</v>
      </c>
      <c r="Q292" s="204">
        <f t="shared" si="141"/>
        <v>0</v>
      </c>
      <c r="R292" s="204" t="s">
        <v>30</v>
      </c>
      <c r="S292" s="203">
        <v>0</v>
      </c>
      <c r="T292" s="204">
        <f t="shared" si="142"/>
        <v>0</v>
      </c>
      <c r="U292" s="204">
        <f t="shared" si="143"/>
        <v>0</v>
      </c>
      <c r="V292" s="197"/>
      <c r="W292" s="205"/>
      <c r="X292" s="195"/>
      <c r="Y292" s="217"/>
      <c r="Z292" s="207"/>
      <c r="AA292" s="208"/>
      <c r="AB292" s="206"/>
      <c r="AC292" s="206"/>
      <c r="AD292" s="207">
        <f t="shared" si="102"/>
        <v>7</v>
      </c>
      <c r="AE292" s="209">
        <f>AC292-AD292</f>
        <v>-7</v>
      </c>
      <c r="AF292" s="197" t="s">
        <v>50</v>
      </c>
      <c r="AG292" s="197" t="s">
        <v>49</v>
      </c>
      <c r="AH292" s="222">
        <f t="shared" si="131"/>
        <v>0</v>
      </c>
      <c r="AI292" s="210" t="e">
        <f>#REF!+5</f>
        <v>#REF!</v>
      </c>
      <c r="AJ292" s="197" t="s">
        <v>46</v>
      </c>
      <c r="AK292" s="211">
        <f t="shared" si="132"/>
        <v>0</v>
      </c>
      <c r="AL292" s="210">
        <f t="shared" si="115"/>
        <v>90</v>
      </c>
      <c r="AM292" s="197"/>
      <c r="AN292" s="194"/>
      <c r="AO292" s="195"/>
      <c r="AP292" s="195"/>
      <c r="AQ292" s="193"/>
      <c r="AR292" s="193"/>
      <c r="AS292" s="193"/>
      <c r="AT292" s="193"/>
      <c r="AU292" s="193"/>
      <c r="AV292" s="193"/>
      <c r="AW292" s="193"/>
      <c r="AX292" s="193"/>
      <c r="AY292" s="193"/>
      <c r="AZ292" s="193"/>
      <c r="BA292" s="193"/>
      <c r="BB292" s="193"/>
      <c r="BC292" s="376"/>
    </row>
    <row r="293" spans="1:55" s="250" customFormat="1" ht="24" customHeight="1">
      <c r="A293" s="197"/>
      <c r="B293" s="198"/>
      <c r="C293" s="194"/>
      <c r="D293" s="193"/>
      <c r="E293" s="247"/>
      <c r="F293" s="194"/>
      <c r="G293" s="247"/>
      <c r="H293" s="215"/>
      <c r="I293" s="215"/>
      <c r="J293" s="194"/>
      <c r="K293" s="197"/>
      <c r="L293" s="194"/>
      <c r="M293" s="248"/>
      <c r="N293" s="194"/>
      <c r="O293" s="193"/>
      <c r="P293" s="203">
        <v>0</v>
      </c>
      <c r="Q293" s="204">
        <f t="shared" si="141"/>
        <v>0</v>
      </c>
      <c r="R293" s="203" t="s">
        <v>30</v>
      </c>
      <c r="S293" s="203">
        <v>0</v>
      </c>
      <c r="T293" s="204">
        <f t="shared" si="142"/>
        <v>0</v>
      </c>
      <c r="U293" s="204">
        <f t="shared" si="143"/>
        <v>0</v>
      </c>
      <c r="V293" s="194"/>
      <c r="W293" s="205"/>
      <c r="X293" s="192"/>
      <c r="Y293" s="206"/>
      <c r="Z293" s="207"/>
      <c r="AA293" s="194"/>
      <c r="AB293" s="206"/>
      <c r="AC293" s="207"/>
      <c r="AD293" s="206">
        <f t="shared" si="102"/>
        <v>7</v>
      </c>
      <c r="AE293" s="209">
        <f t="shared" ref="AE293" si="144">AC293-AD293</f>
        <v>-7</v>
      </c>
      <c r="AF293" s="197" t="s">
        <v>57</v>
      </c>
      <c r="AG293" s="197" t="s">
        <v>48</v>
      </c>
      <c r="AH293" s="202">
        <f t="shared" si="131"/>
        <v>0</v>
      </c>
      <c r="AI293" s="210" t="e">
        <f>#REF!+5</f>
        <v>#REF!</v>
      </c>
      <c r="AJ293" s="197" t="s">
        <v>46</v>
      </c>
      <c r="AK293" s="211">
        <f t="shared" si="132"/>
        <v>0</v>
      </c>
      <c r="AL293" s="210">
        <f>Y293+60</f>
        <v>60</v>
      </c>
      <c r="AM293" s="197"/>
      <c r="AN293" s="194"/>
      <c r="AO293" s="195"/>
      <c r="AP293" s="195"/>
      <c r="AQ293" s="193"/>
      <c r="AR293" s="193"/>
      <c r="AS293" s="193"/>
      <c r="AT293" s="193"/>
      <c r="AU293" s="193"/>
      <c r="AV293" s="193"/>
      <c r="AW293" s="193"/>
      <c r="AX293" s="193"/>
      <c r="AY293" s="193"/>
      <c r="AZ293" s="193"/>
      <c r="BA293" s="193"/>
      <c r="BB293" s="193"/>
      <c r="BC293" s="213"/>
    </row>
    <row r="294" spans="1:55" s="213" customFormat="1" ht="24" customHeight="1">
      <c r="A294" s="197"/>
      <c r="B294" s="198"/>
      <c r="C294" s="194"/>
      <c r="D294" s="193"/>
      <c r="E294" s="247"/>
      <c r="F294" s="194"/>
      <c r="G294" s="247"/>
      <c r="H294" s="215"/>
      <c r="I294" s="215"/>
      <c r="J294" s="194"/>
      <c r="K294" s="197"/>
      <c r="L294" s="194"/>
      <c r="M294" s="248"/>
      <c r="N294" s="194"/>
      <c r="O294" s="193"/>
      <c r="P294" s="203">
        <v>0</v>
      </c>
      <c r="Q294" s="204">
        <f t="shared" ref="Q294" si="145">M294*P294</f>
        <v>0</v>
      </c>
      <c r="R294" s="203" t="s">
        <v>30</v>
      </c>
      <c r="S294" s="203">
        <v>0</v>
      </c>
      <c r="T294" s="204">
        <f t="shared" ref="T294" si="146">M294*S294</f>
        <v>0</v>
      </c>
      <c r="U294" s="204">
        <f t="shared" ref="U294" si="147">P294-S294</f>
        <v>0</v>
      </c>
      <c r="V294" s="194"/>
      <c r="W294" s="205"/>
      <c r="X294" s="192"/>
      <c r="Y294" s="206"/>
      <c r="Z294" s="207"/>
      <c r="AA294" s="194"/>
      <c r="AB294" s="206"/>
      <c r="AC294" s="207"/>
      <c r="AD294" s="206">
        <f t="shared" ref="AD294" si="148">Y294+7</f>
        <v>7</v>
      </c>
      <c r="AE294" s="209">
        <f t="shared" ref="AE294" si="149">AC294-AD294</f>
        <v>-7</v>
      </c>
      <c r="AF294" s="197" t="s">
        <v>57</v>
      </c>
      <c r="AG294" s="197" t="s">
        <v>48</v>
      </c>
      <c r="AH294" s="202">
        <f t="shared" si="131"/>
        <v>0</v>
      </c>
      <c r="AI294" s="210" t="e">
        <f>#REF!+5</f>
        <v>#REF!</v>
      </c>
      <c r="AJ294" s="197" t="s">
        <v>46</v>
      </c>
      <c r="AK294" s="211">
        <f t="shared" si="132"/>
        <v>0</v>
      </c>
      <c r="AL294" s="210">
        <f>Y294+60</f>
        <v>60</v>
      </c>
      <c r="AM294" s="197"/>
      <c r="AN294" s="194"/>
      <c r="AO294" s="195"/>
      <c r="AP294" s="195"/>
      <c r="AQ294" s="193"/>
      <c r="AR294" s="193"/>
      <c r="AS294" s="193"/>
      <c r="AT294" s="193"/>
      <c r="AU294" s="193"/>
      <c r="AV294" s="193"/>
      <c r="AW294" s="193"/>
      <c r="AX294" s="193"/>
      <c r="AY294" s="193"/>
      <c r="AZ294" s="193"/>
      <c r="BA294" s="193"/>
      <c r="BB294" s="193"/>
    </row>
    <row r="295" spans="1:55" s="213" customFormat="1" ht="24" customHeight="1">
      <c r="A295" s="197"/>
      <c r="B295" s="198"/>
      <c r="C295" s="194"/>
      <c r="D295" s="251"/>
      <c r="E295" s="194"/>
      <c r="F295" s="194"/>
      <c r="G295" s="252"/>
      <c r="H295" s="217"/>
      <c r="I295" s="217"/>
      <c r="J295" s="194"/>
      <c r="K295" s="197"/>
      <c r="L295" s="218"/>
      <c r="M295" s="218"/>
      <c r="N295" s="202"/>
      <c r="O295" s="193"/>
      <c r="P295" s="203">
        <v>0</v>
      </c>
      <c r="Q295" s="203">
        <f t="shared" si="141"/>
        <v>0</v>
      </c>
      <c r="R295" s="204" t="s">
        <v>30</v>
      </c>
      <c r="S295" s="203">
        <v>0</v>
      </c>
      <c r="T295" s="204">
        <f t="shared" si="142"/>
        <v>0</v>
      </c>
      <c r="U295" s="204">
        <f t="shared" si="143"/>
        <v>0</v>
      </c>
      <c r="V295" s="197"/>
      <c r="W295" s="205"/>
      <c r="X295" s="192"/>
      <c r="Y295" s="217"/>
      <c r="Z295" s="207"/>
      <c r="AA295" s="208"/>
      <c r="AB295" s="206"/>
      <c r="AC295" s="207"/>
      <c r="AD295" s="207">
        <f t="shared" ref="AD295:AD321" si="150">Y295+7</f>
        <v>7</v>
      </c>
      <c r="AE295" s="209">
        <f>AC295-AD295</f>
        <v>-7</v>
      </c>
      <c r="AF295" s="197" t="s">
        <v>50</v>
      </c>
      <c r="AG295" s="197" t="s">
        <v>49</v>
      </c>
      <c r="AH295" s="222">
        <f t="shared" si="131"/>
        <v>0</v>
      </c>
      <c r="AI295" s="210" t="e">
        <f>#REF!+5</f>
        <v>#REF!</v>
      </c>
      <c r="AJ295" s="197" t="s">
        <v>46</v>
      </c>
      <c r="AK295" s="211">
        <f t="shared" si="132"/>
        <v>0</v>
      </c>
      <c r="AL295" s="210">
        <f t="shared" ref="AL295:AL302" si="151">Y295+90</f>
        <v>90</v>
      </c>
      <c r="AM295" s="197"/>
      <c r="AN295" s="194"/>
      <c r="AO295" s="195"/>
      <c r="AP295" s="195"/>
      <c r="AQ295" s="193"/>
      <c r="AR295" s="193"/>
      <c r="AS295" s="193"/>
      <c r="AT295" s="193"/>
      <c r="AU295" s="193"/>
      <c r="AV295" s="193"/>
      <c r="AW295" s="193"/>
      <c r="AX295" s="193"/>
      <c r="AY295" s="193"/>
      <c r="AZ295" s="193"/>
      <c r="BA295" s="193"/>
      <c r="BB295" s="193"/>
      <c r="BC295" s="376"/>
    </row>
    <row r="296" spans="1:55" s="213" customFormat="1" ht="24" customHeight="1">
      <c r="A296" s="197"/>
      <c r="B296" s="198"/>
      <c r="C296" s="194"/>
      <c r="D296" s="251"/>
      <c r="E296" s="194"/>
      <c r="F296" s="194"/>
      <c r="G296" s="252"/>
      <c r="H296" s="217"/>
      <c r="I296" s="217"/>
      <c r="J296" s="194"/>
      <c r="K296" s="197"/>
      <c r="L296" s="218"/>
      <c r="M296" s="218"/>
      <c r="N296" s="202"/>
      <c r="O296" s="193"/>
      <c r="P296" s="203">
        <v>0</v>
      </c>
      <c r="Q296" s="203">
        <f t="shared" si="141"/>
        <v>0</v>
      </c>
      <c r="R296" s="204" t="s">
        <v>30</v>
      </c>
      <c r="S296" s="203">
        <v>0</v>
      </c>
      <c r="T296" s="204">
        <f t="shared" si="142"/>
        <v>0</v>
      </c>
      <c r="U296" s="204">
        <f t="shared" si="143"/>
        <v>0</v>
      </c>
      <c r="V296" s="197"/>
      <c r="W296" s="205"/>
      <c r="X296" s="192"/>
      <c r="Y296" s="217"/>
      <c r="Z296" s="207"/>
      <c r="AA296" s="208"/>
      <c r="AB296" s="206"/>
      <c r="AC296" s="207"/>
      <c r="AD296" s="207">
        <f t="shared" si="150"/>
        <v>7</v>
      </c>
      <c r="AE296" s="209">
        <f t="shared" ref="AE296:AE328" si="152">AC296-AD296</f>
        <v>-7</v>
      </c>
      <c r="AF296" s="197" t="s">
        <v>50</v>
      </c>
      <c r="AG296" s="197" t="s">
        <v>49</v>
      </c>
      <c r="AH296" s="222">
        <f t="shared" si="131"/>
        <v>0</v>
      </c>
      <c r="AI296" s="210" t="e">
        <f>#REF!+5</f>
        <v>#REF!</v>
      </c>
      <c r="AJ296" s="197" t="s">
        <v>46</v>
      </c>
      <c r="AK296" s="211">
        <f t="shared" si="132"/>
        <v>0</v>
      </c>
      <c r="AL296" s="210">
        <f t="shared" si="151"/>
        <v>90</v>
      </c>
      <c r="AM296" s="197"/>
      <c r="AN296" s="194"/>
      <c r="AO296" s="195"/>
      <c r="AP296" s="195"/>
      <c r="AQ296" s="193"/>
      <c r="AR296" s="193"/>
      <c r="AS296" s="193"/>
      <c r="AT296" s="193"/>
      <c r="AU296" s="193"/>
      <c r="AV296" s="193"/>
      <c r="AW296" s="193"/>
      <c r="AX296" s="193"/>
      <c r="AY296" s="193"/>
      <c r="AZ296" s="193"/>
      <c r="BA296" s="193"/>
      <c r="BB296" s="193"/>
      <c r="BC296" s="376"/>
    </row>
    <row r="297" spans="1:55" s="213" customFormat="1" ht="24" customHeight="1">
      <c r="A297" s="197"/>
      <c r="B297" s="198"/>
      <c r="C297" s="194"/>
      <c r="D297" s="251"/>
      <c r="E297" s="194"/>
      <c r="F297" s="194"/>
      <c r="G297" s="252"/>
      <c r="H297" s="217"/>
      <c r="I297" s="217"/>
      <c r="J297" s="194"/>
      <c r="K297" s="197"/>
      <c r="L297" s="218"/>
      <c r="M297" s="218"/>
      <c r="N297" s="202"/>
      <c r="O297" s="193"/>
      <c r="P297" s="203">
        <v>0</v>
      </c>
      <c r="Q297" s="203">
        <f t="shared" si="141"/>
        <v>0</v>
      </c>
      <c r="R297" s="204" t="s">
        <v>30</v>
      </c>
      <c r="S297" s="203">
        <v>0</v>
      </c>
      <c r="T297" s="204">
        <f t="shared" si="142"/>
        <v>0</v>
      </c>
      <c r="U297" s="204">
        <f t="shared" si="143"/>
        <v>0</v>
      </c>
      <c r="V297" s="197"/>
      <c r="W297" s="205"/>
      <c r="X297" s="192"/>
      <c r="Y297" s="217"/>
      <c r="Z297" s="207"/>
      <c r="AA297" s="208"/>
      <c r="AB297" s="206"/>
      <c r="AC297" s="207"/>
      <c r="AD297" s="207">
        <f t="shared" si="150"/>
        <v>7</v>
      </c>
      <c r="AE297" s="209">
        <f t="shared" si="152"/>
        <v>-7</v>
      </c>
      <c r="AF297" s="197" t="s">
        <v>50</v>
      </c>
      <c r="AG297" s="197" t="s">
        <v>49</v>
      </c>
      <c r="AH297" s="222">
        <f t="shared" si="131"/>
        <v>0</v>
      </c>
      <c r="AI297" s="210" t="e">
        <f>#REF!+5</f>
        <v>#REF!</v>
      </c>
      <c r="AJ297" s="197" t="s">
        <v>46</v>
      </c>
      <c r="AK297" s="211">
        <f t="shared" si="132"/>
        <v>0</v>
      </c>
      <c r="AL297" s="210">
        <f t="shared" si="151"/>
        <v>90</v>
      </c>
      <c r="AM297" s="197"/>
      <c r="AN297" s="194"/>
      <c r="AO297" s="195"/>
      <c r="AP297" s="195"/>
      <c r="AQ297" s="193"/>
      <c r="AR297" s="193"/>
      <c r="AS297" s="193"/>
      <c r="AT297" s="193"/>
      <c r="AU297" s="193"/>
      <c r="AV297" s="193"/>
      <c r="AW297" s="193"/>
      <c r="AX297" s="193"/>
      <c r="AY297" s="193"/>
      <c r="AZ297" s="193"/>
      <c r="BA297" s="193"/>
      <c r="BB297" s="193"/>
      <c r="BC297" s="376"/>
    </row>
    <row r="298" spans="1:55" s="213" customFormat="1" ht="24" customHeight="1">
      <c r="A298" s="197"/>
      <c r="B298" s="198"/>
      <c r="C298" s="194"/>
      <c r="D298" s="251"/>
      <c r="E298" s="194"/>
      <c r="F298" s="194"/>
      <c r="G298" s="252"/>
      <c r="H298" s="217"/>
      <c r="I298" s="217"/>
      <c r="J298" s="194"/>
      <c r="K298" s="197"/>
      <c r="L298" s="218"/>
      <c r="M298" s="218"/>
      <c r="N298" s="202"/>
      <c r="O298" s="193"/>
      <c r="P298" s="203">
        <v>0</v>
      </c>
      <c r="Q298" s="203">
        <f t="shared" si="141"/>
        <v>0</v>
      </c>
      <c r="R298" s="204" t="s">
        <v>30</v>
      </c>
      <c r="S298" s="203">
        <v>0</v>
      </c>
      <c r="T298" s="204">
        <f t="shared" si="142"/>
        <v>0</v>
      </c>
      <c r="U298" s="204">
        <f t="shared" si="143"/>
        <v>0</v>
      </c>
      <c r="V298" s="197"/>
      <c r="W298" s="205"/>
      <c r="X298" s="192"/>
      <c r="Y298" s="217"/>
      <c r="Z298" s="207"/>
      <c r="AA298" s="208"/>
      <c r="AB298" s="206"/>
      <c r="AC298" s="207"/>
      <c r="AD298" s="207">
        <f t="shared" si="150"/>
        <v>7</v>
      </c>
      <c r="AE298" s="209">
        <f t="shared" si="152"/>
        <v>-7</v>
      </c>
      <c r="AF298" s="197" t="s">
        <v>50</v>
      </c>
      <c r="AG298" s="197" t="s">
        <v>49</v>
      </c>
      <c r="AH298" s="222">
        <f t="shared" si="131"/>
        <v>0</v>
      </c>
      <c r="AI298" s="210" t="e">
        <f>#REF!+5</f>
        <v>#REF!</v>
      </c>
      <c r="AJ298" s="197" t="s">
        <v>46</v>
      </c>
      <c r="AK298" s="211">
        <f t="shared" si="132"/>
        <v>0</v>
      </c>
      <c r="AL298" s="210">
        <f t="shared" si="151"/>
        <v>90</v>
      </c>
      <c r="AM298" s="197"/>
      <c r="AN298" s="194"/>
      <c r="AO298" s="195"/>
      <c r="AP298" s="195"/>
      <c r="AQ298" s="193"/>
      <c r="AR298" s="193"/>
      <c r="AS298" s="193"/>
      <c r="AT298" s="193"/>
      <c r="AU298" s="193"/>
      <c r="AV298" s="193"/>
      <c r="AW298" s="193"/>
      <c r="AX298" s="193"/>
      <c r="AY298" s="193"/>
      <c r="AZ298" s="193"/>
      <c r="BA298" s="193"/>
      <c r="BB298" s="193"/>
      <c r="BC298" s="376"/>
    </row>
    <row r="299" spans="1:55" s="213" customFormat="1" ht="24" customHeight="1">
      <c r="A299" s="197"/>
      <c r="B299" s="198"/>
      <c r="C299" s="194"/>
      <c r="D299" s="251"/>
      <c r="E299" s="194"/>
      <c r="F299" s="194"/>
      <c r="G299" s="252"/>
      <c r="H299" s="217"/>
      <c r="I299" s="217"/>
      <c r="J299" s="194"/>
      <c r="K299" s="197"/>
      <c r="L299" s="218"/>
      <c r="M299" s="218"/>
      <c r="N299" s="202"/>
      <c r="O299" s="193"/>
      <c r="P299" s="203">
        <v>0</v>
      </c>
      <c r="Q299" s="203">
        <f t="shared" si="141"/>
        <v>0</v>
      </c>
      <c r="R299" s="204" t="s">
        <v>30</v>
      </c>
      <c r="S299" s="203">
        <v>0</v>
      </c>
      <c r="T299" s="204">
        <f t="shared" si="142"/>
        <v>0</v>
      </c>
      <c r="U299" s="204">
        <f t="shared" si="143"/>
        <v>0</v>
      </c>
      <c r="V299" s="197"/>
      <c r="W299" s="205"/>
      <c r="X299" s="192"/>
      <c r="Y299" s="217"/>
      <c r="Z299" s="207"/>
      <c r="AA299" s="208"/>
      <c r="AB299" s="206"/>
      <c r="AC299" s="207"/>
      <c r="AD299" s="207">
        <f t="shared" si="150"/>
        <v>7</v>
      </c>
      <c r="AE299" s="209">
        <f t="shared" si="152"/>
        <v>-7</v>
      </c>
      <c r="AF299" s="197" t="s">
        <v>50</v>
      </c>
      <c r="AG299" s="197" t="s">
        <v>49</v>
      </c>
      <c r="AH299" s="222">
        <f t="shared" si="131"/>
        <v>0</v>
      </c>
      <c r="AI299" s="210" t="e">
        <f>#REF!+5</f>
        <v>#REF!</v>
      </c>
      <c r="AJ299" s="197" t="s">
        <v>46</v>
      </c>
      <c r="AK299" s="211">
        <f t="shared" si="132"/>
        <v>0</v>
      </c>
      <c r="AL299" s="210">
        <f t="shared" si="151"/>
        <v>90</v>
      </c>
      <c r="AM299" s="197"/>
      <c r="AN299" s="194"/>
      <c r="AO299" s="195"/>
      <c r="AP299" s="195"/>
      <c r="AQ299" s="193"/>
      <c r="AR299" s="193"/>
      <c r="AS299" s="193"/>
      <c r="AT299" s="193"/>
      <c r="AU299" s="193"/>
      <c r="AV299" s="193"/>
      <c r="AW299" s="193"/>
      <c r="AX299" s="193"/>
      <c r="AY299" s="193"/>
      <c r="AZ299" s="193"/>
      <c r="BA299" s="193"/>
      <c r="BB299" s="193"/>
      <c r="BC299" s="376"/>
    </row>
    <row r="300" spans="1:55" s="213" customFormat="1" ht="24" customHeight="1">
      <c r="A300" s="197"/>
      <c r="B300" s="198"/>
      <c r="C300" s="194"/>
      <c r="D300" s="251"/>
      <c r="E300" s="194"/>
      <c r="F300" s="194"/>
      <c r="G300" s="235"/>
      <c r="H300" s="217"/>
      <c r="I300" s="217"/>
      <c r="J300" s="194"/>
      <c r="K300" s="197"/>
      <c r="L300" s="218"/>
      <c r="M300" s="218"/>
      <c r="N300" s="202"/>
      <c r="O300" s="193"/>
      <c r="P300" s="203">
        <v>0</v>
      </c>
      <c r="Q300" s="203">
        <f t="shared" si="141"/>
        <v>0</v>
      </c>
      <c r="R300" s="204" t="s">
        <v>30</v>
      </c>
      <c r="S300" s="203">
        <v>0</v>
      </c>
      <c r="T300" s="204">
        <f t="shared" si="142"/>
        <v>0</v>
      </c>
      <c r="U300" s="204">
        <f t="shared" si="143"/>
        <v>0</v>
      </c>
      <c r="V300" s="197"/>
      <c r="W300" s="205"/>
      <c r="X300" s="192"/>
      <c r="Y300" s="217"/>
      <c r="Z300" s="207"/>
      <c r="AA300" s="208"/>
      <c r="AB300" s="206"/>
      <c r="AC300" s="207"/>
      <c r="AD300" s="207">
        <f t="shared" si="150"/>
        <v>7</v>
      </c>
      <c r="AE300" s="209">
        <f t="shared" si="152"/>
        <v>-7</v>
      </c>
      <c r="AF300" s="197" t="s">
        <v>50</v>
      </c>
      <c r="AG300" s="197" t="s">
        <v>49</v>
      </c>
      <c r="AH300" s="222">
        <f t="shared" si="131"/>
        <v>0</v>
      </c>
      <c r="AI300" s="210" t="e">
        <f>#REF!+5</f>
        <v>#REF!</v>
      </c>
      <c r="AJ300" s="197" t="s">
        <v>46</v>
      </c>
      <c r="AK300" s="211">
        <f t="shared" si="132"/>
        <v>0</v>
      </c>
      <c r="AL300" s="210">
        <f t="shared" si="151"/>
        <v>90</v>
      </c>
      <c r="AM300" s="197"/>
      <c r="AN300" s="194"/>
      <c r="AO300" s="195"/>
      <c r="AP300" s="195"/>
      <c r="AQ300" s="193"/>
      <c r="AR300" s="193"/>
      <c r="AS300" s="193"/>
      <c r="AT300" s="193"/>
      <c r="AU300" s="193"/>
      <c r="AV300" s="193"/>
      <c r="AW300" s="193"/>
      <c r="AX300" s="193"/>
      <c r="AY300" s="193"/>
      <c r="AZ300" s="193"/>
      <c r="BA300" s="193"/>
      <c r="BB300" s="193"/>
      <c r="BC300" s="376"/>
    </row>
    <row r="301" spans="1:55" s="213" customFormat="1" ht="24" customHeight="1">
      <c r="A301" s="197"/>
      <c r="B301" s="198"/>
      <c r="C301" s="194"/>
      <c r="D301" s="251"/>
      <c r="E301" s="229"/>
      <c r="F301" s="253"/>
      <c r="G301" s="229"/>
      <c r="H301" s="217"/>
      <c r="I301" s="215"/>
      <c r="J301" s="194"/>
      <c r="K301" s="197"/>
      <c r="L301" s="201"/>
      <c r="M301" s="230"/>
      <c r="N301" s="202"/>
      <c r="O301" s="193"/>
      <c r="P301" s="203">
        <v>0</v>
      </c>
      <c r="Q301" s="203">
        <f t="shared" si="141"/>
        <v>0</v>
      </c>
      <c r="R301" s="204" t="s">
        <v>30</v>
      </c>
      <c r="S301" s="203">
        <v>0</v>
      </c>
      <c r="T301" s="204">
        <f t="shared" si="142"/>
        <v>0</v>
      </c>
      <c r="U301" s="204">
        <f t="shared" si="143"/>
        <v>0</v>
      </c>
      <c r="V301" s="197"/>
      <c r="W301" s="205"/>
      <c r="X301" s="192"/>
      <c r="Y301" s="217"/>
      <c r="Z301" s="207"/>
      <c r="AA301" s="208"/>
      <c r="AB301" s="206"/>
      <c r="AC301" s="207"/>
      <c r="AD301" s="207">
        <f t="shared" si="150"/>
        <v>7</v>
      </c>
      <c r="AE301" s="209">
        <f t="shared" si="152"/>
        <v>-7</v>
      </c>
      <c r="AF301" s="197" t="s">
        <v>50</v>
      </c>
      <c r="AG301" s="197" t="s">
        <v>49</v>
      </c>
      <c r="AH301" s="222">
        <f t="shared" si="131"/>
        <v>0</v>
      </c>
      <c r="AI301" s="210" t="e">
        <f>#REF!+5</f>
        <v>#REF!</v>
      </c>
      <c r="AJ301" s="197" t="s">
        <v>46</v>
      </c>
      <c r="AK301" s="211">
        <f t="shared" si="132"/>
        <v>0</v>
      </c>
      <c r="AL301" s="210">
        <f t="shared" si="151"/>
        <v>90</v>
      </c>
      <c r="AM301" s="197" t="s">
        <v>53</v>
      </c>
      <c r="AN301" s="194"/>
      <c r="AO301" s="195"/>
      <c r="AP301" s="195"/>
      <c r="AQ301" s="193"/>
      <c r="AR301" s="193"/>
      <c r="AS301" s="193"/>
      <c r="AT301" s="193"/>
      <c r="AU301" s="193"/>
      <c r="AV301" s="193"/>
      <c r="AW301" s="193"/>
      <c r="AX301" s="193"/>
      <c r="AY301" s="193"/>
      <c r="AZ301" s="193"/>
      <c r="BA301" s="193"/>
      <c r="BB301" s="193"/>
      <c r="BC301" s="376"/>
    </row>
    <row r="302" spans="1:55" s="213" customFormat="1" ht="24" customHeight="1">
      <c r="A302" s="197"/>
      <c r="B302" s="198"/>
      <c r="C302" s="194"/>
      <c r="D302" s="251"/>
      <c r="E302" s="229"/>
      <c r="F302" s="253"/>
      <c r="G302" s="229"/>
      <c r="H302" s="217"/>
      <c r="I302" s="215"/>
      <c r="J302" s="194"/>
      <c r="K302" s="197"/>
      <c r="L302" s="201"/>
      <c r="M302" s="230"/>
      <c r="N302" s="202"/>
      <c r="O302" s="193"/>
      <c r="P302" s="203">
        <v>0</v>
      </c>
      <c r="Q302" s="203">
        <f t="shared" si="141"/>
        <v>0</v>
      </c>
      <c r="R302" s="204" t="s">
        <v>30</v>
      </c>
      <c r="S302" s="203">
        <v>0</v>
      </c>
      <c r="T302" s="204">
        <f t="shared" si="142"/>
        <v>0</v>
      </c>
      <c r="U302" s="204">
        <f t="shared" si="143"/>
        <v>0</v>
      </c>
      <c r="V302" s="197"/>
      <c r="W302" s="205"/>
      <c r="X302" s="192"/>
      <c r="Y302" s="217"/>
      <c r="Z302" s="207"/>
      <c r="AA302" s="208"/>
      <c r="AB302" s="206"/>
      <c r="AC302" s="207"/>
      <c r="AD302" s="207">
        <f t="shared" si="150"/>
        <v>7</v>
      </c>
      <c r="AE302" s="209">
        <f t="shared" si="152"/>
        <v>-7</v>
      </c>
      <c r="AF302" s="197" t="s">
        <v>50</v>
      </c>
      <c r="AG302" s="197" t="s">
        <v>49</v>
      </c>
      <c r="AH302" s="222">
        <f t="shared" si="131"/>
        <v>0</v>
      </c>
      <c r="AI302" s="210" t="e">
        <f>#REF!+5</f>
        <v>#REF!</v>
      </c>
      <c r="AJ302" s="197" t="s">
        <v>46</v>
      </c>
      <c r="AK302" s="211">
        <f t="shared" si="132"/>
        <v>0</v>
      </c>
      <c r="AL302" s="210">
        <f t="shared" si="151"/>
        <v>90</v>
      </c>
      <c r="AM302" s="197" t="s">
        <v>53</v>
      </c>
      <c r="AN302" s="194"/>
      <c r="AO302" s="195"/>
      <c r="AP302" s="195"/>
      <c r="AQ302" s="193"/>
      <c r="AR302" s="193"/>
      <c r="AS302" s="193"/>
      <c r="AT302" s="193"/>
      <c r="AU302" s="193"/>
      <c r="AV302" s="193"/>
      <c r="AW302" s="193"/>
      <c r="AX302" s="193"/>
      <c r="AY302" s="193"/>
      <c r="AZ302" s="193"/>
      <c r="BA302" s="193"/>
      <c r="BB302" s="193"/>
      <c r="BC302" s="376"/>
    </row>
    <row r="303" spans="1:55" s="213" customFormat="1" ht="24" customHeight="1">
      <c r="A303" s="197"/>
      <c r="B303" s="198"/>
      <c r="C303" s="194"/>
      <c r="D303" s="193"/>
      <c r="E303" s="253"/>
      <c r="F303" s="253"/>
      <c r="G303" s="253"/>
      <c r="H303" s="200"/>
      <c r="I303" s="200"/>
      <c r="J303" s="194"/>
      <c r="K303" s="197"/>
      <c r="L303" s="201"/>
      <c r="M303" s="230"/>
      <c r="N303" s="202"/>
      <c r="O303" s="193"/>
      <c r="P303" s="203">
        <v>0</v>
      </c>
      <c r="Q303" s="203">
        <f t="shared" si="141"/>
        <v>0</v>
      </c>
      <c r="R303" s="204" t="s">
        <v>30</v>
      </c>
      <c r="S303" s="203">
        <v>0</v>
      </c>
      <c r="T303" s="204">
        <f t="shared" si="142"/>
        <v>0</v>
      </c>
      <c r="U303" s="204">
        <f t="shared" si="143"/>
        <v>0</v>
      </c>
      <c r="V303" s="194"/>
      <c r="W303" s="205"/>
      <c r="X303" s="192"/>
      <c r="Y303" s="206"/>
      <c r="Z303" s="207"/>
      <c r="AA303" s="208"/>
      <c r="AB303" s="206"/>
      <c r="AC303" s="207"/>
      <c r="AD303" s="207">
        <f t="shared" si="150"/>
        <v>7</v>
      </c>
      <c r="AE303" s="209">
        <f t="shared" si="152"/>
        <v>-7</v>
      </c>
      <c r="AF303" s="197" t="s">
        <v>57</v>
      </c>
      <c r="AG303" s="197" t="s">
        <v>48</v>
      </c>
      <c r="AH303" s="202">
        <f t="shared" si="131"/>
        <v>0</v>
      </c>
      <c r="AI303" s="210" t="e">
        <f>#REF!+5</f>
        <v>#REF!</v>
      </c>
      <c r="AJ303" s="197" t="s">
        <v>46</v>
      </c>
      <c r="AK303" s="211">
        <f t="shared" si="132"/>
        <v>0</v>
      </c>
      <c r="AL303" s="210">
        <f t="shared" ref="AL303:AL321" si="153">Y303+60</f>
        <v>60</v>
      </c>
      <c r="AM303" s="197"/>
      <c r="AN303" s="194"/>
      <c r="AO303" s="195"/>
      <c r="AP303" s="195"/>
      <c r="AQ303" s="193"/>
      <c r="AR303" s="193"/>
      <c r="AS303" s="193"/>
      <c r="AT303" s="193"/>
      <c r="AU303" s="193"/>
      <c r="AV303" s="193"/>
      <c r="AW303" s="193"/>
      <c r="AX303" s="193"/>
      <c r="AY303" s="193"/>
      <c r="AZ303" s="193"/>
      <c r="BA303" s="193"/>
      <c r="BB303" s="193"/>
    </row>
    <row r="304" spans="1:55" s="213" customFormat="1" ht="24" customHeight="1">
      <c r="A304" s="197"/>
      <c r="B304" s="198"/>
      <c r="C304" s="194"/>
      <c r="D304" s="193"/>
      <c r="E304" s="253"/>
      <c r="F304" s="253"/>
      <c r="G304" s="253"/>
      <c r="H304" s="200"/>
      <c r="I304" s="200"/>
      <c r="J304" s="194"/>
      <c r="K304" s="197"/>
      <c r="L304" s="201"/>
      <c r="M304" s="230"/>
      <c r="N304" s="202"/>
      <c r="O304" s="193"/>
      <c r="P304" s="203">
        <v>0</v>
      </c>
      <c r="Q304" s="203">
        <f t="shared" si="141"/>
        <v>0</v>
      </c>
      <c r="R304" s="204" t="s">
        <v>30</v>
      </c>
      <c r="S304" s="203">
        <v>0</v>
      </c>
      <c r="T304" s="204">
        <f t="shared" si="142"/>
        <v>0</v>
      </c>
      <c r="U304" s="204">
        <f t="shared" si="143"/>
        <v>0</v>
      </c>
      <c r="V304" s="194"/>
      <c r="W304" s="205"/>
      <c r="X304" s="192"/>
      <c r="Y304" s="206"/>
      <c r="Z304" s="207"/>
      <c r="AA304" s="208"/>
      <c r="AB304" s="206"/>
      <c r="AC304" s="207"/>
      <c r="AD304" s="207">
        <f t="shared" si="150"/>
        <v>7</v>
      </c>
      <c r="AE304" s="209">
        <f t="shared" si="152"/>
        <v>-7</v>
      </c>
      <c r="AF304" s="197" t="s">
        <v>57</v>
      </c>
      <c r="AG304" s="197" t="s">
        <v>48</v>
      </c>
      <c r="AH304" s="202">
        <f t="shared" si="131"/>
        <v>0</v>
      </c>
      <c r="AI304" s="210" t="e">
        <f>#REF!+5</f>
        <v>#REF!</v>
      </c>
      <c r="AJ304" s="197" t="s">
        <v>46</v>
      </c>
      <c r="AK304" s="211">
        <f t="shared" si="132"/>
        <v>0</v>
      </c>
      <c r="AL304" s="210">
        <f t="shared" si="153"/>
        <v>60</v>
      </c>
      <c r="AM304" s="197"/>
      <c r="AN304" s="194"/>
      <c r="AO304" s="195"/>
      <c r="AP304" s="195"/>
      <c r="AQ304" s="193"/>
      <c r="AR304" s="193"/>
      <c r="AS304" s="193"/>
      <c r="AT304" s="193"/>
      <c r="AU304" s="193"/>
      <c r="AV304" s="193"/>
      <c r="AW304" s="193"/>
      <c r="AX304" s="193"/>
      <c r="AY304" s="193"/>
      <c r="AZ304" s="193"/>
      <c r="BA304" s="193"/>
      <c r="BB304" s="193"/>
    </row>
    <row r="305" spans="1:56" s="213" customFormat="1" ht="24" customHeight="1">
      <c r="A305" s="197"/>
      <c r="B305" s="198"/>
      <c r="C305" s="194"/>
      <c r="D305" s="193"/>
      <c r="E305" s="253"/>
      <c r="F305" s="254"/>
      <c r="G305" s="253"/>
      <c r="H305" s="200"/>
      <c r="I305" s="200"/>
      <c r="J305" s="194"/>
      <c r="K305" s="197"/>
      <c r="L305" s="201"/>
      <c r="M305" s="230"/>
      <c r="N305" s="202"/>
      <c r="O305" s="193"/>
      <c r="P305" s="203">
        <v>0</v>
      </c>
      <c r="Q305" s="203">
        <f t="shared" si="141"/>
        <v>0</v>
      </c>
      <c r="R305" s="204" t="s">
        <v>30</v>
      </c>
      <c r="S305" s="203">
        <v>0</v>
      </c>
      <c r="T305" s="204">
        <f t="shared" si="142"/>
        <v>0</v>
      </c>
      <c r="U305" s="204">
        <f t="shared" si="143"/>
        <v>0</v>
      </c>
      <c r="V305" s="194"/>
      <c r="W305" s="205"/>
      <c r="X305" s="192"/>
      <c r="Y305" s="206"/>
      <c r="Z305" s="207"/>
      <c r="AA305" s="208"/>
      <c r="AB305" s="206"/>
      <c r="AC305" s="207"/>
      <c r="AD305" s="207">
        <f t="shared" si="150"/>
        <v>7</v>
      </c>
      <c r="AE305" s="209">
        <f t="shared" si="152"/>
        <v>-7</v>
      </c>
      <c r="AF305" s="197" t="s">
        <v>57</v>
      </c>
      <c r="AG305" s="197" t="s">
        <v>48</v>
      </c>
      <c r="AH305" s="202">
        <f t="shared" si="131"/>
        <v>0</v>
      </c>
      <c r="AI305" s="210" t="e">
        <f>#REF!+5</f>
        <v>#REF!</v>
      </c>
      <c r="AJ305" s="197" t="s">
        <v>46</v>
      </c>
      <c r="AK305" s="211">
        <f t="shared" si="132"/>
        <v>0</v>
      </c>
      <c r="AL305" s="210">
        <f t="shared" si="153"/>
        <v>60</v>
      </c>
      <c r="AM305" s="197"/>
      <c r="AN305" s="194"/>
      <c r="AO305" s="195"/>
      <c r="AP305" s="195"/>
      <c r="AQ305" s="193"/>
      <c r="AR305" s="193"/>
      <c r="AS305" s="193"/>
      <c r="AT305" s="193"/>
      <c r="AU305" s="193"/>
      <c r="AV305" s="193"/>
      <c r="AW305" s="193"/>
      <c r="AX305" s="193"/>
      <c r="AY305" s="193"/>
      <c r="AZ305" s="193"/>
      <c r="BA305" s="193"/>
      <c r="BB305" s="193"/>
    </row>
    <row r="306" spans="1:56" s="213" customFormat="1" ht="24" customHeight="1">
      <c r="A306" s="197"/>
      <c r="B306" s="198"/>
      <c r="C306" s="198"/>
      <c r="D306" s="193"/>
      <c r="E306" s="253"/>
      <c r="F306" s="254"/>
      <c r="G306" s="253"/>
      <c r="H306" s="200"/>
      <c r="I306" s="200"/>
      <c r="J306" s="194"/>
      <c r="K306" s="197"/>
      <c r="L306" s="201"/>
      <c r="M306" s="230"/>
      <c r="N306" s="202"/>
      <c r="O306" s="193"/>
      <c r="P306" s="203">
        <v>0</v>
      </c>
      <c r="Q306" s="203">
        <f t="shared" si="141"/>
        <v>0</v>
      </c>
      <c r="R306" s="204" t="s">
        <v>30</v>
      </c>
      <c r="S306" s="203">
        <v>0</v>
      </c>
      <c r="T306" s="204">
        <f t="shared" si="142"/>
        <v>0</v>
      </c>
      <c r="U306" s="204">
        <f t="shared" si="143"/>
        <v>0</v>
      </c>
      <c r="V306" s="197"/>
      <c r="W306" s="205"/>
      <c r="X306" s="195"/>
      <c r="Y306" s="206"/>
      <c r="Z306" s="207"/>
      <c r="AA306" s="208"/>
      <c r="AB306" s="206"/>
      <c r="AC306" s="206"/>
      <c r="AD306" s="207">
        <f t="shared" si="150"/>
        <v>7</v>
      </c>
      <c r="AE306" s="209">
        <f t="shared" si="152"/>
        <v>-7</v>
      </c>
      <c r="AF306" s="197" t="s">
        <v>57</v>
      </c>
      <c r="AG306" s="197" t="s">
        <v>52</v>
      </c>
      <c r="AH306" s="202">
        <f t="shared" si="131"/>
        <v>0</v>
      </c>
      <c r="AI306" s="210" t="e">
        <f>#REF!+5</f>
        <v>#REF!</v>
      </c>
      <c r="AJ306" s="197" t="s">
        <v>46</v>
      </c>
      <c r="AK306" s="211">
        <f t="shared" si="132"/>
        <v>0</v>
      </c>
      <c r="AL306" s="210">
        <f t="shared" si="153"/>
        <v>60</v>
      </c>
      <c r="AM306" s="197"/>
      <c r="AN306" s="194"/>
      <c r="AO306" s="195"/>
      <c r="AP306" s="195"/>
      <c r="AQ306" s="193"/>
      <c r="AR306" s="193"/>
      <c r="AS306" s="193"/>
      <c r="AT306" s="193"/>
      <c r="AU306" s="193"/>
      <c r="AV306" s="193"/>
      <c r="AW306" s="193"/>
      <c r="AX306" s="193"/>
      <c r="AY306" s="193"/>
      <c r="AZ306" s="193"/>
      <c r="BA306" s="193"/>
      <c r="BB306" s="193"/>
      <c r="BC306" s="375"/>
    </row>
    <row r="307" spans="1:56" s="213" customFormat="1" ht="24" customHeight="1">
      <c r="A307" s="197"/>
      <c r="B307" s="198"/>
      <c r="C307" s="198"/>
      <c r="D307" s="193"/>
      <c r="E307" s="253"/>
      <c r="F307" s="214"/>
      <c r="G307" s="253"/>
      <c r="H307" s="200"/>
      <c r="I307" s="215"/>
      <c r="J307" s="194"/>
      <c r="K307" s="197"/>
      <c r="L307" s="201"/>
      <c r="M307" s="230"/>
      <c r="N307" s="202"/>
      <c r="O307" s="193"/>
      <c r="P307" s="203">
        <v>0</v>
      </c>
      <c r="Q307" s="203">
        <f t="shared" si="141"/>
        <v>0</v>
      </c>
      <c r="R307" s="204" t="s">
        <v>30</v>
      </c>
      <c r="S307" s="203">
        <v>0</v>
      </c>
      <c r="T307" s="204">
        <f t="shared" si="142"/>
        <v>0</v>
      </c>
      <c r="U307" s="204">
        <f t="shared" si="143"/>
        <v>0</v>
      </c>
      <c r="V307" s="197"/>
      <c r="W307" s="205"/>
      <c r="X307" s="195"/>
      <c r="Y307" s="206"/>
      <c r="Z307" s="207"/>
      <c r="AA307" s="208"/>
      <c r="AB307" s="206"/>
      <c r="AC307" s="206"/>
      <c r="AD307" s="207">
        <f t="shared" si="150"/>
        <v>7</v>
      </c>
      <c r="AE307" s="209">
        <f t="shared" si="152"/>
        <v>-7</v>
      </c>
      <c r="AF307" s="197" t="s">
        <v>57</v>
      </c>
      <c r="AG307" s="197" t="s">
        <v>48</v>
      </c>
      <c r="AH307" s="202">
        <f t="shared" si="131"/>
        <v>0</v>
      </c>
      <c r="AI307" s="210" t="e">
        <f>#REF!+5</f>
        <v>#REF!</v>
      </c>
      <c r="AJ307" s="197" t="s">
        <v>46</v>
      </c>
      <c r="AK307" s="211">
        <f t="shared" si="132"/>
        <v>0</v>
      </c>
      <c r="AL307" s="210">
        <f t="shared" si="153"/>
        <v>60</v>
      </c>
      <c r="AM307" s="197"/>
      <c r="AN307" s="194"/>
      <c r="AO307" s="195"/>
      <c r="AP307" s="195"/>
      <c r="AQ307" s="193"/>
      <c r="AR307" s="193"/>
      <c r="AS307" s="193"/>
      <c r="AT307" s="193"/>
      <c r="AU307" s="193"/>
      <c r="AV307" s="193"/>
      <c r="AW307" s="193"/>
      <c r="AX307" s="193"/>
      <c r="AY307" s="193"/>
      <c r="AZ307" s="193"/>
      <c r="BA307" s="193"/>
      <c r="BB307" s="193"/>
    </row>
    <row r="308" spans="1:56" s="213" customFormat="1" ht="24" customHeight="1">
      <c r="A308" s="197"/>
      <c r="B308" s="198"/>
      <c r="C308" s="198"/>
      <c r="D308" s="193"/>
      <c r="E308" s="255"/>
      <c r="F308" s="214"/>
      <c r="G308" s="255"/>
      <c r="H308" s="200"/>
      <c r="I308" s="215"/>
      <c r="J308" s="194"/>
      <c r="K308" s="197"/>
      <c r="L308" s="201"/>
      <c r="M308" s="230"/>
      <c r="N308" s="202"/>
      <c r="O308" s="193"/>
      <c r="P308" s="203">
        <v>0</v>
      </c>
      <c r="Q308" s="203">
        <f t="shared" si="141"/>
        <v>0</v>
      </c>
      <c r="R308" s="204" t="s">
        <v>30</v>
      </c>
      <c r="S308" s="203">
        <v>0</v>
      </c>
      <c r="T308" s="204">
        <f t="shared" si="142"/>
        <v>0</v>
      </c>
      <c r="U308" s="204">
        <f t="shared" si="143"/>
        <v>0</v>
      </c>
      <c r="V308" s="197"/>
      <c r="W308" s="205"/>
      <c r="X308" s="195"/>
      <c r="Y308" s="206"/>
      <c r="Z308" s="207"/>
      <c r="AA308" s="208"/>
      <c r="AB308" s="206"/>
      <c r="AC308" s="206"/>
      <c r="AD308" s="207">
        <f t="shared" si="150"/>
        <v>7</v>
      </c>
      <c r="AE308" s="209">
        <f t="shared" si="152"/>
        <v>-7</v>
      </c>
      <c r="AF308" s="197" t="s">
        <v>57</v>
      </c>
      <c r="AG308" s="197" t="s">
        <v>48</v>
      </c>
      <c r="AH308" s="202">
        <f t="shared" si="131"/>
        <v>0</v>
      </c>
      <c r="AI308" s="210" t="e">
        <f>#REF!+5</f>
        <v>#REF!</v>
      </c>
      <c r="AJ308" s="197" t="s">
        <v>46</v>
      </c>
      <c r="AK308" s="211">
        <f t="shared" si="132"/>
        <v>0</v>
      </c>
      <c r="AL308" s="210">
        <f t="shared" si="153"/>
        <v>60</v>
      </c>
      <c r="AM308" s="197"/>
      <c r="AN308" s="194"/>
      <c r="AO308" s="195"/>
      <c r="AP308" s="195"/>
      <c r="AQ308" s="193"/>
      <c r="AR308" s="193"/>
      <c r="AS308" s="193"/>
      <c r="AT308" s="193"/>
      <c r="AU308" s="193"/>
      <c r="AV308" s="193"/>
      <c r="AW308" s="193"/>
      <c r="AX308" s="193"/>
      <c r="AY308" s="193"/>
      <c r="AZ308" s="193"/>
      <c r="BA308" s="193"/>
      <c r="BB308" s="193"/>
    </row>
    <row r="309" spans="1:56" s="213" customFormat="1" ht="24" customHeight="1">
      <c r="A309" s="197"/>
      <c r="B309" s="198"/>
      <c r="C309" s="198"/>
      <c r="D309" s="193"/>
      <c r="E309" s="255"/>
      <c r="F309" s="214"/>
      <c r="G309" s="255"/>
      <c r="H309" s="200"/>
      <c r="I309" s="200"/>
      <c r="J309" s="194"/>
      <c r="K309" s="197"/>
      <c r="L309" s="201"/>
      <c r="M309" s="230"/>
      <c r="N309" s="202"/>
      <c r="O309" s="193"/>
      <c r="P309" s="203">
        <v>0</v>
      </c>
      <c r="Q309" s="203">
        <f t="shared" ref="Q309:Q310" si="154">M309*P309</f>
        <v>0</v>
      </c>
      <c r="R309" s="204" t="s">
        <v>30</v>
      </c>
      <c r="S309" s="203">
        <v>0</v>
      </c>
      <c r="T309" s="204">
        <f t="shared" ref="T309:T310" si="155">M309*S309</f>
        <v>0</v>
      </c>
      <c r="U309" s="204">
        <f t="shared" ref="U309:U310" si="156">P309-S309</f>
        <v>0</v>
      </c>
      <c r="V309" s="197"/>
      <c r="W309" s="205"/>
      <c r="X309" s="195"/>
      <c r="Y309" s="206"/>
      <c r="Z309" s="207"/>
      <c r="AA309" s="208"/>
      <c r="AB309" s="206"/>
      <c r="AC309" s="206"/>
      <c r="AD309" s="207">
        <f t="shared" ref="AD309" si="157">Y309+7</f>
        <v>7</v>
      </c>
      <c r="AE309" s="209">
        <f t="shared" ref="AE309" si="158">AC309-AD309</f>
        <v>-7</v>
      </c>
      <c r="AF309" s="197" t="s">
        <v>57</v>
      </c>
      <c r="AG309" s="197" t="s">
        <v>52</v>
      </c>
      <c r="AH309" s="202">
        <f t="shared" si="131"/>
        <v>0</v>
      </c>
      <c r="AI309" s="210" t="e">
        <f>#REF!+5</f>
        <v>#REF!</v>
      </c>
      <c r="AJ309" s="197" t="s">
        <v>46</v>
      </c>
      <c r="AK309" s="211">
        <f t="shared" si="132"/>
        <v>0</v>
      </c>
      <c r="AL309" s="210">
        <f t="shared" si="153"/>
        <v>60</v>
      </c>
      <c r="AM309" s="197"/>
      <c r="AN309" s="194"/>
      <c r="AO309" s="195"/>
      <c r="AP309" s="195"/>
      <c r="AQ309" s="193"/>
      <c r="AR309" s="193"/>
      <c r="AS309" s="193"/>
      <c r="AT309" s="193"/>
      <c r="AU309" s="193"/>
      <c r="AV309" s="193"/>
      <c r="AW309" s="193"/>
      <c r="AX309" s="193"/>
      <c r="AY309" s="193"/>
      <c r="AZ309" s="193"/>
      <c r="BA309" s="193"/>
      <c r="BB309" s="193"/>
      <c r="BC309" s="375"/>
      <c r="BD309" s="236"/>
    </row>
    <row r="310" spans="1:56" s="213" customFormat="1" ht="24" customHeight="1">
      <c r="A310" s="197"/>
      <c r="B310" s="198"/>
      <c r="C310" s="198"/>
      <c r="D310" s="193"/>
      <c r="E310" s="238"/>
      <c r="F310" s="239"/>
      <c r="G310" s="238"/>
      <c r="H310" s="217"/>
      <c r="I310" s="217"/>
      <c r="J310" s="197"/>
      <c r="K310" s="197"/>
      <c r="L310" s="233"/>
      <c r="M310" s="233"/>
      <c r="N310" s="194"/>
      <c r="O310" s="193"/>
      <c r="P310" s="203">
        <v>0</v>
      </c>
      <c r="Q310" s="204">
        <f t="shared" si="154"/>
        <v>0</v>
      </c>
      <c r="R310" s="204" t="s">
        <v>30</v>
      </c>
      <c r="S310" s="203">
        <v>0</v>
      </c>
      <c r="T310" s="204">
        <f t="shared" si="155"/>
        <v>0</v>
      </c>
      <c r="U310" s="204">
        <f t="shared" si="156"/>
        <v>0</v>
      </c>
      <c r="V310" s="197"/>
      <c r="W310" s="205"/>
      <c r="X310" s="195"/>
      <c r="Y310" s="224"/>
      <c r="Z310" s="224"/>
      <c r="AA310" s="208"/>
      <c r="AB310" s="206"/>
      <c r="AC310" s="207"/>
      <c r="AD310" s="207">
        <f t="shared" si="150"/>
        <v>7</v>
      </c>
      <c r="AE310" s="209">
        <f t="shared" si="152"/>
        <v>-7</v>
      </c>
      <c r="AF310" s="197" t="s">
        <v>57</v>
      </c>
      <c r="AG310" s="197" t="s">
        <v>48</v>
      </c>
      <c r="AH310" s="202">
        <f t="shared" si="131"/>
        <v>0</v>
      </c>
      <c r="AI310" s="210" t="e">
        <f>#REF!+5</f>
        <v>#REF!</v>
      </c>
      <c r="AJ310" s="197" t="s">
        <v>46</v>
      </c>
      <c r="AK310" s="211">
        <f t="shared" si="132"/>
        <v>0</v>
      </c>
      <c r="AL310" s="210">
        <f t="shared" si="153"/>
        <v>60</v>
      </c>
      <c r="AM310" s="197"/>
      <c r="AN310" s="202"/>
      <c r="AO310" s="195"/>
      <c r="AP310" s="195"/>
      <c r="AQ310" s="193"/>
      <c r="AR310" s="193"/>
      <c r="AS310" s="193"/>
      <c r="AT310" s="193"/>
      <c r="AU310" s="193"/>
      <c r="AV310" s="193"/>
      <c r="AW310" s="193"/>
      <c r="AX310" s="193"/>
      <c r="AY310" s="193"/>
      <c r="AZ310" s="193"/>
      <c r="BA310" s="193"/>
      <c r="BB310" s="193"/>
    </row>
    <row r="311" spans="1:56" s="213" customFormat="1" ht="24" customHeight="1">
      <c r="A311" s="197"/>
      <c r="B311" s="198"/>
      <c r="C311" s="198"/>
      <c r="D311" s="193"/>
      <c r="E311" s="241"/>
      <c r="F311" s="256"/>
      <c r="G311" s="241"/>
      <c r="H311" s="217"/>
      <c r="I311" s="217"/>
      <c r="J311" s="197"/>
      <c r="K311" s="197"/>
      <c r="L311" s="201"/>
      <c r="M311" s="199"/>
      <c r="N311" s="202"/>
      <c r="O311" s="193"/>
      <c r="P311" s="203">
        <v>0</v>
      </c>
      <c r="Q311" s="203">
        <f t="shared" si="141"/>
        <v>0</v>
      </c>
      <c r="R311" s="204" t="s">
        <v>30</v>
      </c>
      <c r="S311" s="203">
        <v>0</v>
      </c>
      <c r="T311" s="204">
        <f t="shared" si="142"/>
        <v>0</v>
      </c>
      <c r="U311" s="204">
        <f t="shared" si="143"/>
        <v>0</v>
      </c>
      <c r="V311" s="197"/>
      <c r="W311" s="205"/>
      <c r="X311" s="195"/>
      <c r="Y311" s="224"/>
      <c r="Z311" s="224"/>
      <c r="AA311" s="208"/>
      <c r="AB311" s="206"/>
      <c r="AC311" s="207"/>
      <c r="AD311" s="207">
        <f t="shared" si="150"/>
        <v>7</v>
      </c>
      <c r="AE311" s="209">
        <f t="shared" si="152"/>
        <v>-7</v>
      </c>
      <c r="AF311" s="197" t="s">
        <v>57</v>
      </c>
      <c r="AG311" s="197" t="s">
        <v>48</v>
      </c>
      <c r="AH311" s="202">
        <f t="shared" si="131"/>
        <v>0</v>
      </c>
      <c r="AI311" s="210" t="e">
        <f>#REF!+5</f>
        <v>#REF!</v>
      </c>
      <c r="AJ311" s="197" t="s">
        <v>46</v>
      </c>
      <c r="AK311" s="211">
        <f t="shared" si="132"/>
        <v>0</v>
      </c>
      <c r="AL311" s="210">
        <f t="shared" si="153"/>
        <v>60</v>
      </c>
      <c r="AM311" s="197"/>
      <c r="AN311" s="202"/>
      <c r="AO311" s="195"/>
      <c r="AP311" s="195"/>
      <c r="AQ311" s="193"/>
      <c r="AR311" s="193"/>
      <c r="AS311" s="193"/>
      <c r="AT311" s="193"/>
      <c r="AU311" s="193"/>
      <c r="AV311" s="193"/>
      <c r="AW311" s="193"/>
      <c r="AX311" s="193"/>
      <c r="AY311" s="193"/>
      <c r="AZ311" s="193"/>
      <c r="BA311" s="193"/>
      <c r="BB311" s="193"/>
    </row>
    <row r="312" spans="1:56" s="213" customFormat="1" ht="24" customHeight="1">
      <c r="A312" s="197"/>
      <c r="B312" s="198"/>
      <c r="C312" s="198"/>
      <c r="D312" s="193"/>
      <c r="E312" s="241"/>
      <c r="F312" s="256"/>
      <c r="G312" s="241"/>
      <c r="H312" s="217"/>
      <c r="I312" s="217"/>
      <c r="J312" s="197"/>
      <c r="K312" s="197"/>
      <c r="L312" s="201"/>
      <c r="M312" s="199"/>
      <c r="N312" s="202"/>
      <c r="O312" s="193"/>
      <c r="P312" s="203">
        <v>0</v>
      </c>
      <c r="Q312" s="203">
        <f t="shared" si="141"/>
        <v>0</v>
      </c>
      <c r="R312" s="204" t="s">
        <v>30</v>
      </c>
      <c r="S312" s="203">
        <v>0</v>
      </c>
      <c r="T312" s="204">
        <f t="shared" si="142"/>
        <v>0</v>
      </c>
      <c r="U312" s="204">
        <f t="shared" si="143"/>
        <v>0</v>
      </c>
      <c r="V312" s="197"/>
      <c r="W312" s="205"/>
      <c r="X312" s="195"/>
      <c r="Y312" s="224"/>
      <c r="Z312" s="224"/>
      <c r="AA312" s="208"/>
      <c r="AB312" s="206"/>
      <c r="AC312" s="207"/>
      <c r="AD312" s="207">
        <f t="shared" si="150"/>
        <v>7</v>
      </c>
      <c r="AE312" s="209">
        <f t="shared" si="152"/>
        <v>-7</v>
      </c>
      <c r="AF312" s="197" t="s">
        <v>57</v>
      </c>
      <c r="AG312" s="197" t="s">
        <v>48</v>
      </c>
      <c r="AH312" s="202">
        <f t="shared" si="131"/>
        <v>0</v>
      </c>
      <c r="AI312" s="210" t="e">
        <f>#REF!+5</f>
        <v>#REF!</v>
      </c>
      <c r="AJ312" s="197" t="s">
        <v>46</v>
      </c>
      <c r="AK312" s="211">
        <f t="shared" si="132"/>
        <v>0</v>
      </c>
      <c r="AL312" s="210">
        <f t="shared" si="153"/>
        <v>60</v>
      </c>
      <c r="AM312" s="197"/>
      <c r="AN312" s="202"/>
      <c r="AO312" s="195"/>
      <c r="AP312" s="195"/>
      <c r="AQ312" s="193"/>
      <c r="AR312" s="193"/>
      <c r="AS312" s="193"/>
      <c r="AT312" s="193"/>
      <c r="AU312" s="193"/>
      <c r="AV312" s="193"/>
      <c r="AW312" s="193"/>
      <c r="AX312" s="193"/>
      <c r="AY312" s="193"/>
      <c r="AZ312" s="193"/>
      <c r="BA312" s="193"/>
      <c r="BB312" s="193"/>
    </row>
    <row r="313" spans="1:56" s="213" customFormat="1" ht="24" customHeight="1">
      <c r="A313" s="197"/>
      <c r="B313" s="198"/>
      <c r="C313" s="198"/>
      <c r="D313" s="193"/>
      <c r="E313" s="241"/>
      <c r="F313" s="257"/>
      <c r="G313" s="241"/>
      <c r="H313" s="217"/>
      <c r="I313" s="217"/>
      <c r="J313" s="197"/>
      <c r="K313" s="197"/>
      <c r="L313" s="201"/>
      <c r="M313" s="199"/>
      <c r="N313" s="202"/>
      <c r="O313" s="193"/>
      <c r="P313" s="203">
        <v>0</v>
      </c>
      <c r="Q313" s="203">
        <f t="shared" si="141"/>
        <v>0</v>
      </c>
      <c r="R313" s="204" t="s">
        <v>30</v>
      </c>
      <c r="S313" s="203">
        <v>0</v>
      </c>
      <c r="T313" s="204">
        <f t="shared" si="142"/>
        <v>0</v>
      </c>
      <c r="U313" s="204">
        <f t="shared" si="143"/>
        <v>0</v>
      </c>
      <c r="V313" s="197"/>
      <c r="W313" s="205"/>
      <c r="X313" s="195"/>
      <c r="Y313" s="224"/>
      <c r="Z313" s="224"/>
      <c r="AA313" s="208"/>
      <c r="AB313" s="206"/>
      <c r="AC313" s="207"/>
      <c r="AD313" s="207">
        <f t="shared" si="150"/>
        <v>7</v>
      </c>
      <c r="AE313" s="209">
        <f t="shared" si="152"/>
        <v>-7</v>
      </c>
      <c r="AF313" s="197" t="s">
        <v>57</v>
      </c>
      <c r="AG313" s="197" t="s">
        <v>48</v>
      </c>
      <c r="AH313" s="202">
        <f t="shared" si="131"/>
        <v>0</v>
      </c>
      <c r="AI313" s="210" t="e">
        <f>#REF!+5</f>
        <v>#REF!</v>
      </c>
      <c r="AJ313" s="197" t="s">
        <v>46</v>
      </c>
      <c r="AK313" s="211">
        <f t="shared" si="132"/>
        <v>0</v>
      </c>
      <c r="AL313" s="210">
        <f t="shared" si="153"/>
        <v>60</v>
      </c>
      <c r="AM313" s="197"/>
      <c r="AN313" s="202"/>
      <c r="AO313" s="195"/>
      <c r="AP313" s="195"/>
      <c r="AQ313" s="193"/>
      <c r="AR313" s="193"/>
      <c r="AS313" s="193"/>
      <c r="AT313" s="193"/>
      <c r="AU313" s="193"/>
      <c r="AV313" s="193"/>
      <c r="AW313" s="193"/>
      <c r="AX313" s="193"/>
      <c r="AY313" s="193"/>
      <c r="AZ313" s="193"/>
      <c r="BA313" s="193"/>
      <c r="BB313" s="193"/>
    </row>
    <row r="314" spans="1:56" s="213" customFormat="1" ht="24" customHeight="1">
      <c r="A314" s="197"/>
      <c r="B314" s="198"/>
      <c r="C314" s="198"/>
      <c r="D314" s="193"/>
      <c r="E314" s="241"/>
      <c r="F314" s="258"/>
      <c r="G314" s="241"/>
      <c r="H314" s="217"/>
      <c r="I314" s="217"/>
      <c r="J314" s="197"/>
      <c r="K314" s="197"/>
      <c r="L314" s="201"/>
      <c r="M314" s="201"/>
      <c r="N314" s="202"/>
      <c r="O314" s="193"/>
      <c r="P314" s="203">
        <v>0</v>
      </c>
      <c r="Q314" s="203">
        <f t="shared" ref="Q314:Q319" si="159">M314*P314</f>
        <v>0</v>
      </c>
      <c r="R314" s="204" t="s">
        <v>30</v>
      </c>
      <c r="S314" s="203">
        <v>0</v>
      </c>
      <c r="T314" s="204">
        <f t="shared" ref="T314:T319" si="160">M314*S314</f>
        <v>0</v>
      </c>
      <c r="U314" s="204">
        <f t="shared" ref="U314:U319" si="161">P314-S314</f>
        <v>0</v>
      </c>
      <c r="V314" s="197"/>
      <c r="W314" s="205"/>
      <c r="X314" s="195"/>
      <c r="Y314" s="224"/>
      <c r="Z314" s="224"/>
      <c r="AA314" s="208"/>
      <c r="AB314" s="206"/>
      <c r="AC314" s="207"/>
      <c r="AD314" s="207">
        <f t="shared" si="150"/>
        <v>7</v>
      </c>
      <c r="AE314" s="209">
        <f t="shared" si="152"/>
        <v>-7</v>
      </c>
      <c r="AF314" s="197" t="s">
        <v>57</v>
      </c>
      <c r="AG314" s="197" t="s">
        <v>48</v>
      </c>
      <c r="AH314" s="202">
        <f t="shared" si="131"/>
        <v>0</v>
      </c>
      <c r="AI314" s="210" t="e">
        <f>#REF!+5</f>
        <v>#REF!</v>
      </c>
      <c r="AJ314" s="197" t="s">
        <v>46</v>
      </c>
      <c r="AK314" s="211">
        <f t="shared" si="132"/>
        <v>0</v>
      </c>
      <c r="AL314" s="210">
        <f t="shared" si="153"/>
        <v>60</v>
      </c>
      <c r="AM314" s="197"/>
      <c r="AN314" s="202"/>
      <c r="AO314" s="195"/>
      <c r="AP314" s="195"/>
      <c r="AQ314" s="193"/>
      <c r="AR314" s="193"/>
      <c r="AS314" s="193"/>
      <c r="AT314" s="193"/>
      <c r="AU314" s="193"/>
      <c r="AV314" s="193"/>
      <c r="AW314" s="193"/>
      <c r="AX314" s="193"/>
      <c r="AY314" s="193"/>
      <c r="AZ314" s="193"/>
      <c r="BA314" s="193"/>
      <c r="BB314" s="193"/>
    </row>
    <row r="315" spans="1:56" s="213" customFormat="1" ht="24" customHeight="1">
      <c r="A315" s="197"/>
      <c r="B315" s="198"/>
      <c r="C315" s="198"/>
      <c r="D315" s="193"/>
      <c r="E315" s="241"/>
      <c r="F315" s="258"/>
      <c r="G315" s="241"/>
      <c r="H315" s="217"/>
      <c r="I315" s="217"/>
      <c r="J315" s="197"/>
      <c r="K315" s="197"/>
      <c r="L315" s="201"/>
      <c r="M315" s="201"/>
      <c r="N315" s="202"/>
      <c r="O315" s="193"/>
      <c r="P315" s="203">
        <v>0</v>
      </c>
      <c r="Q315" s="203">
        <f t="shared" si="159"/>
        <v>0</v>
      </c>
      <c r="R315" s="204" t="s">
        <v>30</v>
      </c>
      <c r="S315" s="203">
        <v>0</v>
      </c>
      <c r="T315" s="204">
        <f t="shared" si="160"/>
        <v>0</v>
      </c>
      <c r="U315" s="204">
        <f t="shared" si="161"/>
        <v>0</v>
      </c>
      <c r="V315" s="197"/>
      <c r="W315" s="205"/>
      <c r="X315" s="195"/>
      <c r="Y315" s="224"/>
      <c r="Z315" s="224"/>
      <c r="AA315" s="208"/>
      <c r="AB315" s="206"/>
      <c r="AC315" s="207"/>
      <c r="AD315" s="207">
        <f t="shared" si="150"/>
        <v>7</v>
      </c>
      <c r="AE315" s="209">
        <f t="shared" si="152"/>
        <v>-7</v>
      </c>
      <c r="AF315" s="197" t="s">
        <v>57</v>
      </c>
      <c r="AG315" s="197" t="s">
        <v>48</v>
      </c>
      <c r="AH315" s="202">
        <f t="shared" si="131"/>
        <v>0</v>
      </c>
      <c r="AI315" s="210" t="e">
        <f>#REF!+5</f>
        <v>#REF!</v>
      </c>
      <c r="AJ315" s="197" t="s">
        <v>46</v>
      </c>
      <c r="AK315" s="211">
        <f t="shared" si="132"/>
        <v>0</v>
      </c>
      <c r="AL315" s="210">
        <f t="shared" si="153"/>
        <v>60</v>
      </c>
      <c r="AM315" s="197"/>
      <c r="AN315" s="202"/>
      <c r="AO315" s="195"/>
      <c r="AP315" s="195"/>
      <c r="AQ315" s="193"/>
      <c r="AR315" s="193"/>
      <c r="AS315" s="193"/>
      <c r="AT315" s="193"/>
      <c r="AU315" s="193"/>
      <c r="AV315" s="193"/>
      <c r="AW315" s="193"/>
      <c r="AX315" s="193"/>
      <c r="AY315" s="193"/>
      <c r="AZ315" s="193"/>
      <c r="BA315" s="193"/>
      <c r="BB315" s="193"/>
    </row>
    <row r="316" spans="1:56" s="213" customFormat="1" ht="24" customHeight="1">
      <c r="A316" s="197"/>
      <c r="B316" s="198"/>
      <c r="C316" s="198"/>
      <c r="D316" s="193"/>
      <c r="E316" s="199"/>
      <c r="F316" s="199"/>
      <c r="G316" s="199"/>
      <c r="H316" s="200"/>
      <c r="I316" s="200"/>
      <c r="J316" s="197"/>
      <c r="K316" s="197"/>
      <c r="L316" s="201"/>
      <c r="M316" s="201"/>
      <c r="N316" s="202"/>
      <c r="O316" s="193"/>
      <c r="P316" s="203">
        <v>0</v>
      </c>
      <c r="Q316" s="203">
        <f t="shared" si="159"/>
        <v>0</v>
      </c>
      <c r="R316" s="204" t="s">
        <v>30</v>
      </c>
      <c r="S316" s="203">
        <v>0</v>
      </c>
      <c r="T316" s="204">
        <f t="shared" si="160"/>
        <v>0</v>
      </c>
      <c r="U316" s="204">
        <f t="shared" si="161"/>
        <v>0</v>
      </c>
      <c r="V316" s="197"/>
      <c r="W316" s="205"/>
      <c r="X316" s="195"/>
      <c r="Y316" s="224"/>
      <c r="Z316" s="224"/>
      <c r="AA316" s="208"/>
      <c r="AB316" s="206"/>
      <c r="AC316" s="207"/>
      <c r="AD316" s="207">
        <f t="shared" si="150"/>
        <v>7</v>
      </c>
      <c r="AE316" s="209">
        <f t="shared" si="152"/>
        <v>-7</v>
      </c>
      <c r="AF316" s="197" t="s">
        <v>51</v>
      </c>
      <c r="AG316" s="197" t="s">
        <v>48</v>
      </c>
      <c r="AH316" s="202">
        <f t="shared" si="131"/>
        <v>0</v>
      </c>
      <c r="AI316" s="210" t="e">
        <f>#REF!+5</f>
        <v>#REF!</v>
      </c>
      <c r="AJ316" s="197" t="s">
        <v>46</v>
      </c>
      <c r="AK316" s="211">
        <f t="shared" si="132"/>
        <v>0</v>
      </c>
      <c r="AL316" s="210">
        <f t="shared" si="153"/>
        <v>60</v>
      </c>
      <c r="AM316" s="197"/>
      <c r="AN316" s="202"/>
      <c r="AO316" s="195"/>
      <c r="AP316" s="195"/>
      <c r="AQ316" s="193"/>
      <c r="AR316" s="193"/>
      <c r="AS316" s="193"/>
      <c r="AT316" s="193"/>
      <c r="AU316" s="193"/>
      <c r="AV316" s="193"/>
      <c r="AW316" s="193"/>
      <c r="AX316" s="193"/>
      <c r="AY316" s="193"/>
      <c r="AZ316" s="193"/>
      <c r="BA316" s="193"/>
      <c r="BB316" s="193"/>
    </row>
    <row r="317" spans="1:56" s="213" customFormat="1" ht="24" customHeight="1">
      <c r="A317" s="197"/>
      <c r="B317" s="198"/>
      <c r="C317" s="198"/>
      <c r="D317" s="193"/>
      <c r="E317" s="199"/>
      <c r="F317" s="199"/>
      <c r="G317" s="199"/>
      <c r="H317" s="200"/>
      <c r="I317" s="200"/>
      <c r="J317" s="197"/>
      <c r="K317" s="197"/>
      <c r="L317" s="201"/>
      <c r="M317" s="201"/>
      <c r="N317" s="202"/>
      <c r="O317" s="193"/>
      <c r="P317" s="203">
        <v>0</v>
      </c>
      <c r="Q317" s="203">
        <f t="shared" si="159"/>
        <v>0</v>
      </c>
      <c r="R317" s="204" t="s">
        <v>30</v>
      </c>
      <c r="S317" s="203">
        <v>0</v>
      </c>
      <c r="T317" s="204">
        <f t="shared" si="160"/>
        <v>0</v>
      </c>
      <c r="U317" s="204">
        <f t="shared" si="161"/>
        <v>0</v>
      </c>
      <c r="V317" s="197"/>
      <c r="W317" s="205"/>
      <c r="X317" s="195"/>
      <c r="Y317" s="224"/>
      <c r="Z317" s="224"/>
      <c r="AA317" s="208"/>
      <c r="AB317" s="206"/>
      <c r="AC317" s="207"/>
      <c r="AD317" s="207">
        <f t="shared" si="150"/>
        <v>7</v>
      </c>
      <c r="AE317" s="209">
        <f t="shared" si="152"/>
        <v>-7</v>
      </c>
      <c r="AF317" s="197" t="s">
        <v>51</v>
      </c>
      <c r="AG317" s="197" t="s">
        <v>48</v>
      </c>
      <c r="AH317" s="202">
        <f t="shared" si="131"/>
        <v>0</v>
      </c>
      <c r="AI317" s="210" t="e">
        <f>#REF!+5</f>
        <v>#REF!</v>
      </c>
      <c r="AJ317" s="197" t="s">
        <v>46</v>
      </c>
      <c r="AK317" s="211">
        <f t="shared" si="132"/>
        <v>0</v>
      </c>
      <c r="AL317" s="210">
        <f t="shared" si="153"/>
        <v>60</v>
      </c>
      <c r="AM317" s="197"/>
      <c r="AN317" s="202"/>
      <c r="AO317" s="195"/>
      <c r="AP317" s="195"/>
      <c r="AQ317" s="193"/>
      <c r="AR317" s="193"/>
      <c r="AS317" s="193"/>
      <c r="AT317" s="193"/>
      <c r="AU317" s="193"/>
      <c r="AV317" s="193"/>
      <c r="AW317" s="193"/>
      <c r="AX317" s="193"/>
      <c r="AY317" s="193"/>
      <c r="AZ317" s="193"/>
      <c r="BA317" s="193"/>
      <c r="BB317" s="193"/>
    </row>
    <row r="318" spans="1:56" s="213" customFormat="1" ht="24" customHeight="1">
      <c r="A318" s="197"/>
      <c r="B318" s="198"/>
      <c r="C318" s="194"/>
      <c r="D318" s="193"/>
      <c r="E318" s="199"/>
      <c r="F318" s="199"/>
      <c r="G318" s="199"/>
      <c r="H318" s="200"/>
      <c r="I318" s="200"/>
      <c r="J318" s="197"/>
      <c r="K318" s="197"/>
      <c r="L318" s="201"/>
      <c r="M318" s="201"/>
      <c r="N318" s="202"/>
      <c r="O318" s="193"/>
      <c r="P318" s="203">
        <v>0</v>
      </c>
      <c r="Q318" s="203">
        <f t="shared" si="159"/>
        <v>0</v>
      </c>
      <c r="R318" s="204" t="s">
        <v>30</v>
      </c>
      <c r="S318" s="203">
        <v>0</v>
      </c>
      <c r="T318" s="204">
        <f t="shared" si="160"/>
        <v>0</v>
      </c>
      <c r="U318" s="204">
        <f t="shared" si="161"/>
        <v>0</v>
      </c>
      <c r="V318" s="197"/>
      <c r="W318" s="205"/>
      <c r="X318" s="197"/>
      <c r="Y318" s="206"/>
      <c r="Z318" s="207"/>
      <c r="AA318" s="208"/>
      <c r="AB318" s="206"/>
      <c r="AC318" s="207"/>
      <c r="AD318" s="207">
        <f t="shared" si="150"/>
        <v>7</v>
      </c>
      <c r="AE318" s="209">
        <f t="shared" ref="AE318:AE324" si="162">AC318-AD318</f>
        <v>-7</v>
      </c>
      <c r="AF318" s="197" t="s">
        <v>51</v>
      </c>
      <c r="AG318" s="197" t="s">
        <v>44</v>
      </c>
      <c r="AH318" s="202">
        <f t="shared" si="131"/>
        <v>0</v>
      </c>
      <c r="AI318" s="210" t="e">
        <f>#REF!+5</f>
        <v>#REF!</v>
      </c>
      <c r="AJ318" s="197" t="s">
        <v>46</v>
      </c>
      <c r="AK318" s="211">
        <f t="shared" si="132"/>
        <v>0</v>
      </c>
      <c r="AL318" s="210">
        <f t="shared" si="153"/>
        <v>60</v>
      </c>
      <c r="AM318" s="197"/>
      <c r="AN318" s="202"/>
      <c r="AO318" s="202"/>
      <c r="AP318" s="20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</row>
    <row r="319" spans="1:56" s="213" customFormat="1" ht="24" customHeight="1">
      <c r="A319" s="197"/>
      <c r="B319" s="198"/>
      <c r="C319" s="194"/>
      <c r="D319" s="193"/>
      <c r="E319" s="199"/>
      <c r="F319" s="199"/>
      <c r="G319" s="199"/>
      <c r="H319" s="200"/>
      <c r="I319" s="200"/>
      <c r="J319" s="197"/>
      <c r="K319" s="197"/>
      <c r="L319" s="201"/>
      <c r="M319" s="230"/>
      <c r="N319" s="202"/>
      <c r="O319" s="193"/>
      <c r="P319" s="203">
        <v>0</v>
      </c>
      <c r="Q319" s="203">
        <f t="shared" si="159"/>
        <v>0</v>
      </c>
      <c r="R319" s="204" t="s">
        <v>30</v>
      </c>
      <c r="S319" s="203">
        <v>0</v>
      </c>
      <c r="T319" s="204">
        <f t="shared" si="160"/>
        <v>0</v>
      </c>
      <c r="U319" s="204">
        <f t="shared" si="161"/>
        <v>0</v>
      </c>
      <c r="V319" s="197"/>
      <c r="W319" s="205"/>
      <c r="X319" s="197"/>
      <c r="Y319" s="206"/>
      <c r="Z319" s="207"/>
      <c r="AA319" s="208"/>
      <c r="AB319" s="206"/>
      <c r="AC319" s="207"/>
      <c r="AD319" s="207">
        <f t="shared" si="150"/>
        <v>7</v>
      </c>
      <c r="AE319" s="209">
        <f t="shared" si="162"/>
        <v>-7</v>
      </c>
      <c r="AF319" s="197" t="s">
        <v>51</v>
      </c>
      <c r="AG319" s="197" t="s">
        <v>44</v>
      </c>
      <c r="AH319" s="202">
        <f t="shared" si="131"/>
        <v>0</v>
      </c>
      <c r="AI319" s="210" t="e">
        <f>#REF!+5</f>
        <v>#REF!</v>
      </c>
      <c r="AJ319" s="197" t="s">
        <v>46</v>
      </c>
      <c r="AK319" s="211">
        <f t="shared" si="132"/>
        <v>0</v>
      </c>
      <c r="AL319" s="210">
        <f t="shared" si="153"/>
        <v>60</v>
      </c>
      <c r="AM319" s="197"/>
      <c r="AN319" s="202"/>
      <c r="AO319" s="202"/>
      <c r="AP319" s="20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</row>
    <row r="320" spans="1:56" s="213" customFormat="1" ht="24" customHeight="1">
      <c r="A320" s="197"/>
      <c r="B320" s="198"/>
      <c r="C320" s="194"/>
      <c r="D320" s="193"/>
      <c r="E320" s="199"/>
      <c r="F320" s="199"/>
      <c r="G320" s="199"/>
      <c r="H320" s="200"/>
      <c r="I320" s="200"/>
      <c r="J320" s="197"/>
      <c r="K320" s="197"/>
      <c r="L320" s="201"/>
      <c r="M320" s="230"/>
      <c r="N320" s="202"/>
      <c r="O320" s="193"/>
      <c r="P320" s="203">
        <v>0</v>
      </c>
      <c r="Q320" s="203">
        <f t="shared" ref="Q320:Q351" si="163">M320*P320</f>
        <v>0</v>
      </c>
      <c r="R320" s="204" t="s">
        <v>30</v>
      </c>
      <c r="S320" s="203">
        <v>0</v>
      </c>
      <c r="T320" s="204">
        <f t="shared" ref="T320:T352" si="164">M320*S320</f>
        <v>0</v>
      </c>
      <c r="U320" s="204">
        <f t="shared" ref="U320:U352" si="165">P320-S320</f>
        <v>0</v>
      </c>
      <c r="V320" s="197"/>
      <c r="W320" s="205"/>
      <c r="X320" s="197"/>
      <c r="Y320" s="206"/>
      <c r="Z320" s="207"/>
      <c r="AA320" s="208"/>
      <c r="AB320" s="206"/>
      <c r="AC320" s="207"/>
      <c r="AD320" s="207">
        <f t="shared" si="150"/>
        <v>7</v>
      </c>
      <c r="AE320" s="209">
        <f t="shared" si="162"/>
        <v>-7</v>
      </c>
      <c r="AF320" s="197" t="s">
        <v>51</v>
      </c>
      <c r="AG320" s="197" t="s">
        <v>44</v>
      </c>
      <c r="AH320" s="202">
        <f t="shared" si="131"/>
        <v>0</v>
      </c>
      <c r="AI320" s="210" t="e">
        <f>#REF!+5</f>
        <v>#REF!</v>
      </c>
      <c r="AJ320" s="197" t="s">
        <v>46</v>
      </c>
      <c r="AK320" s="211">
        <f t="shared" si="132"/>
        <v>0</v>
      </c>
      <c r="AL320" s="210">
        <f t="shared" si="153"/>
        <v>60</v>
      </c>
      <c r="AM320" s="197"/>
      <c r="AN320" s="202"/>
      <c r="AO320" s="195"/>
      <c r="AP320" s="195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</row>
    <row r="321" spans="1:55" s="213" customFormat="1" ht="24" customHeight="1">
      <c r="A321" s="197"/>
      <c r="B321" s="198"/>
      <c r="C321" s="194"/>
      <c r="D321" s="193"/>
      <c r="E321" s="199"/>
      <c r="F321" s="199"/>
      <c r="G321" s="199"/>
      <c r="H321" s="200"/>
      <c r="I321" s="200"/>
      <c r="J321" s="197"/>
      <c r="K321" s="197"/>
      <c r="L321" s="201"/>
      <c r="M321" s="230"/>
      <c r="N321" s="202"/>
      <c r="O321" s="193"/>
      <c r="P321" s="203">
        <v>0</v>
      </c>
      <c r="Q321" s="203">
        <f t="shared" si="163"/>
        <v>0</v>
      </c>
      <c r="R321" s="204" t="s">
        <v>30</v>
      </c>
      <c r="S321" s="203">
        <v>0</v>
      </c>
      <c r="T321" s="204">
        <f t="shared" si="164"/>
        <v>0</v>
      </c>
      <c r="U321" s="204">
        <f t="shared" si="165"/>
        <v>0</v>
      </c>
      <c r="V321" s="197"/>
      <c r="W321" s="205"/>
      <c r="X321" s="197"/>
      <c r="Y321" s="206"/>
      <c r="Z321" s="207"/>
      <c r="AA321" s="208"/>
      <c r="AB321" s="206"/>
      <c r="AC321" s="207"/>
      <c r="AD321" s="207">
        <f t="shared" si="150"/>
        <v>7</v>
      </c>
      <c r="AE321" s="209">
        <f t="shared" si="162"/>
        <v>-7</v>
      </c>
      <c r="AF321" s="197" t="s">
        <v>51</v>
      </c>
      <c r="AG321" s="197" t="s">
        <v>44</v>
      </c>
      <c r="AH321" s="202">
        <f t="shared" si="131"/>
        <v>0</v>
      </c>
      <c r="AI321" s="210" t="e">
        <f>#REF!+5</f>
        <v>#REF!</v>
      </c>
      <c r="AJ321" s="197" t="s">
        <v>46</v>
      </c>
      <c r="AK321" s="211">
        <f t="shared" si="132"/>
        <v>0</v>
      </c>
      <c r="AL321" s="210">
        <f t="shared" si="153"/>
        <v>60</v>
      </c>
      <c r="AM321" s="197"/>
      <c r="AN321" s="202"/>
      <c r="AO321" s="195"/>
      <c r="AP321" s="195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</row>
    <row r="322" spans="1:55" s="213" customFormat="1" ht="24" customHeight="1">
      <c r="A322" s="197"/>
      <c r="B322" s="198"/>
      <c r="C322" s="198"/>
      <c r="D322" s="193"/>
      <c r="E322" s="216"/>
      <c r="F322" s="214"/>
      <c r="G322" s="235"/>
      <c r="H322" s="200"/>
      <c r="I322" s="215"/>
      <c r="J322" s="197"/>
      <c r="K322" s="197"/>
      <c r="L322" s="218"/>
      <c r="M322" s="218"/>
      <c r="N322" s="219"/>
      <c r="O322" s="193"/>
      <c r="P322" s="203">
        <v>0</v>
      </c>
      <c r="Q322" s="203">
        <f t="shared" si="163"/>
        <v>0</v>
      </c>
      <c r="R322" s="204" t="s">
        <v>30</v>
      </c>
      <c r="S322" s="203">
        <v>0</v>
      </c>
      <c r="T322" s="204">
        <f t="shared" si="164"/>
        <v>0</v>
      </c>
      <c r="U322" s="204">
        <f t="shared" si="165"/>
        <v>0</v>
      </c>
      <c r="V322" s="197"/>
      <c r="W322" s="205"/>
      <c r="X322" s="195"/>
      <c r="Y322" s="217"/>
      <c r="Z322" s="207"/>
      <c r="AA322" s="208"/>
      <c r="AB322" s="206"/>
      <c r="AC322" s="206"/>
      <c r="AD322" s="207">
        <f>Y322+7</f>
        <v>7</v>
      </c>
      <c r="AE322" s="209">
        <f t="shared" si="162"/>
        <v>-7</v>
      </c>
      <c r="AF322" s="197" t="s">
        <v>50</v>
      </c>
      <c r="AG322" s="197" t="s">
        <v>49</v>
      </c>
      <c r="AH322" s="202">
        <f t="shared" si="131"/>
        <v>0</v>
      </c>
      <c r="AI322" s="210" t="e">
        <f>#REF!+5</f>
        <v>#REF!</v>
      </c>
      <c r="AJ322" s="197" t="s">
        <v>46</v>
      </c>
      <c r="AK322" s="211">
        <f t="shared" si="132"/>
        <v>0</v>
      </c>
      <c r="AL322" s="210">
        <f>Y322+90</f>
        <v>90</v>
      </c>
      <c r="AM322" s="197"/>
      <c r="AN322" s="194"/>
      <c r="AO322" s="202"/>
      <c r="AP322" s="202"/>
      <c r="AQ322" s="193"/>
      <c r="AR322" s="193"/>
      <c r="AS322" s="193"/>
      <c r="AT322" s="193"/>
      <c r="AU322" s="193"/>
      <c r="AV322" s="193"/>
      <c r="AW322" s="193"/>
      <c r="AX322" s="193"/>
      <c r="AY322" s="193"/>
      <c r="AZ322" s="193"/>
      <c r="BA322" s="193"/>
      <c r="BB322" s="193"/>
      <c r="BC322" s="376"/>
    </row>
    <row r="323" spans="1:55" s="213" customFormat="1" ht="24" customHeight="1">
      <c r="A323" s="197"/>
      <c r="B323" s="198"/>
      <c r="C323" s="198"/>
      <c r="D323" s="193"/>
      <c r="E323" s="216"/>
      <c r="F323" s="214"/>
      <c r="G323" s="235"/>
      <c r="H323" s="200"/>
      <c r="I323" s="215"/>
      <c r="J323" s="197"/>
      <c r="K323" s="197"/>
      <c r="L323" s="218"/>
      <c r="M323" s="218"/>
      <c r="N323" s="219"/>
      <c r="O323" s="193"/>
      <c r="P323" s="203">
        <v>0</v>
      </c>
      <c r="Q323" s="203">
        <f t="shared" si="163"/>
        <v>0</v>
      </c>
      <c r="R323" s="204" t="s">
        <v>30</v>
      </c>
      <c r="S323" s="203">
        <v>0</v>
      </c>
      <c r="T323" s="204">
        <f t="shared" si="164"/>
        <v>0</v>
      </c>
      <c r="U323" s="204">
        <f t="shared" si="165"/>
        <v>0</v>
      </c>
      <c r="V323" s="197"/>
      <c r="W323" s="205"/>
      <c r="X323" s="195"/>
      <c r="Y323" s="217"/>
      <c r="Z323" s="207"/>
      <c r="AA323" s="208"/>
      <c r="AB323" s="206"/>
      <c r="AC323" s="206"/>
      <c r="AD323" s="207">
        <f t="shared" ref="AD323:AD351" si="166">Y323+7</f>
        <v>7</v>
      </c>
      <c r="AE323" s="209">
        <f t="shared" si="162"/>
        <v>-7</v>
      </c>
      <c r="AF323" s="197" t="s">
        <v>50</v>
      </c>
      <c r="AG323" s="197" t="s">
        <v>49</v>
      </c>
      <c r="AH323" s="202">
        <f t="shared" si="131"/>
        <v>0</v>
      </c>
      <c r="AI323" s="210" t="e">
        <f>#REF!+5</f>
        <v>#REF!</v>
      </c>
      <c r="AJ323" s="197" t="s">
        <v>46</v>
      </c>
      <c r="AK323" s="211">
        <f t="shared" si="132"/>
        <v>0</v>
      </c>
      <c r="AL323" s="210">
        <f t="shared" ref="AL323:AL348" si="167">Y323+60</f>
        <v>60</v>
      </c>
      <c r="AM323" s="197"/>
      <c r="AN323" s="194"/>
      <c r="AO323" s="202"/>
      <c r="AP323" s="202"/>
      <c r="AQ323" s="193"/>
      <c r="AR323" s="193"/>
      <c r="AS323" s="193"/>
      <c r="AT323" s="193"/>
      <c r="AU323" s="193"/>
      <c r="AV323" s="193"/>
      <c r="AW323" s="193"/>
      <c r="AX323" s="193"/>
      <c r="AY323" s="193"/>
      <c r="AZ323" s="193"/>
      <c r="BA323" s="193"/>
      <c r="BB323" s="193"/>
    </row>
    <row r="324" spans="1:55" s="213" customFormat="1" ht="24" customHeight="1">
      <c r="A324" s="197"/>
      <c r="B324" s="198"/>
      <c r="C324" s="198"/>
      <c r="D324" s="193"/>
      <c r="E324" s="216"/>
      <c r="F324" s="214"/>
      <c r="G324" s="235"/>
      <c r="H324" s="200"/>
      <c r="I324" s="215"/>
      <c r="J324" s="197"/>
      <c r="K324" s="197"/>
      <c r="L324" s="218"/>
      <c r="M324" s="218"/>
      <c r="N324" s="219"/>
      <c r="O324" s="193"/>
      <c r="P324" s="203">
        <v>0</v>
      </c>
      <c r="Q324" s="203">
        <f t="shared" si="163"/>
        <v>0</v>
      </c>
      <c r="R324" s="204" t="s">
        <v>30</v>
      </c>
      <c r="S324" s="203">
        <v>0</v>
      </c>
      <c r="T324" s="204">
        <f t="shared" si="164"/>
        <v>0</v>
      </c>
      <c r="U324" s="204">
        <f t="shared" si="165"/>
        <v>0</v>
      </c>
      <c r="V324" s="197"/>
      <c r="W324" s="205"/>
      <c r="X324" s="195"/>
      <c r="Y324" s="217"/>
      <c r="Z324" s="207"/>
      <c r="AA324" s="208"/>
      <c r="AB324" s="206"/>
      <c r="AC324" s="206"/>
      <c r="AD324" s="207">
        <f t="shared" si="166"/>
        <v>7</v>
      </c>
      <c r="AE324" s="209">
        <f t="shared" si="162"/>
        <v>-7</v>
      </c>
      <c r="AF324" s="197" t="s">
        <v>50</v>
      </c>
      <c r="AG324" s="197" t="s">
        <v>49</v>
      </c>
      <c r="AH324" s="202">
        <f t="shared" si="131"/>
        <v>0</v>
      </c>
      <c r="AI324" s="210" t="e">
        <f>#REF!+5</f>
        <v>#REF!</v>
      </c>
      <c r="AJ324" s="197" t="s">
        <v>46</v>
      </c>
      <c r="AK324" s="211">
        <f t="shared" si="132"/>
        <v>0</v>
      </c>
      <c r="AL324" s="210">
        <f t="shared" si="167"/>
        <v>60</v>
      </c>
      <c r="AM324" s="197"/>
      <c r="AN324" s="194"/>
      <c r="AO324" s="202"/>
      <c r="AP324" s="202"/>
      <c r="AQ324" s="193"/>
      <c r="AR324" s="193"/>
      <c r="AS324" s="193"/>
      <c r="AT324" s="193"/>
      <c r="AU324" s="193"/>
      <c r="AV324" s="193"/>
      <c r="AW324" s="193"/>
      <c r="AX324" s="193"/>
      <c r="AY324" s="193"/>
      <c r="AZ324" s="193"/>
      <c r="BA324" s="193"/>
      <c r="BB324" s="193"/>
    </row>
    <row r="325" spans="1:55" s="213" customFormat="1" ht="24" customHeight="1">
      <c r="A325" s="197"/>
      <c r="B325" s="198"/>
      <c r="C325" s="198"/>
      <c r="D325" s="193"/>
      <c r="E325" s="216"/>
      <c r="F325" s="214"/>
      <c r="G325" s="235"/>
      <c r="H325" s="200"/>
      <c r="I325" s="215"/>
      <c r="J325" s="197"/>
      <c r="K325" s="197"/>
      <c r="L325" s="218"/>
      <c r="M325" s="218"/>
      <c r="N325" s="219"/>
      <c r="O325" s="193"/>
      <c r="P325" s="203">
        <v>0</v>
      </c>
      <c r="Q325" s="203">
        <f t="shared" si="163"/>
        <v>0</v>
      </c>
      <c r="R325" s="204" t="s">
        <v>30</v>
      </c>
      <c r="S325" s="203">
        <v>0</v>
      </c>
      <c r="T325" s="204">
        <f t="shared" si="164"/>
        <v>0</v>
      </c>
      <c r="U325" s="204">
        <f t="shared" si="165"/>
        <v>0</v>
      </c>
      <c r="V325" s="197"/>
      <c r="W325" s="205"/>
      <c r="X325" s="195"/>
      <c r="Y325" s="217"/>
      <c r="Z325" s="207"/>
      <c r="AA325" s="208"/>
      <c r="AB325" s="206"/>
      <c r="AC325" s="206"/>
      <c r="AD325" s="207">
        <f t="shared" si="166"/>
        <v>7</v>
      </c>
      <c r="AE325" s="209">
        <f t="shared" si="152"/>
        <v>-7</v>
      </c>
      <c r="AF325" s="197" t="s">
        <v>50</v>
      </c>
      <c r="AG325" s="197" t="s">
        <v>49</v>
      </c>
      <c r="AH325" s="202">
        <f t="shared" si="131"/>
        <v>0</v>
      </c>
      <c r="AI325" s="210" t="e">
        <f>#REF!+5</f>
        <v>#REF!</v>
      </c>
      <c r="AJ325" s="197" t="s">
        <v>46</v>
      </c>
      <c r="AK325" s="211">
        <f t="shared" si="132"/>
        <v>0</v>
      </c>
      <c r="AL325" s="210">
        <f t="shared" si="167"/>
        <v>60</v>
      </c>
      <c r="AM325" s="197"/>
      <c r="AN325" s="194"/>
      <c r="AO325" s="202"/>
      <c r="AP325" s="202"/>
      <c r="AQ325" s="193"/>
      <c r="AR325" s="193"/>
      <c r="AS325" s="193"/>
      <c r="AT325" s="193"/>
      <c r="AU325" s="193"/>
      <c r="AV325" s="193"/>
      <c r="AW325" s="193"/>
      <c r="AX325" s="193"/>
      <c r="AY325" s="193"/>
      <c r="AZ325" s="193"/>
      <c r="BA325" s="193"/>
      <c r="BB325" s="193"/>
    </row>
    <row r="326" spans="1:55" s="213" customFormat="1" ht="24" customHeight="1">
      <c r="A326" s="197"/>
      <c r="B326" s="198"/>
      <c r="C326" s="198"/>
      <c r="D326" s="193"/>
      <c r="E326" s="216"/>
      <c r="F326" s="214"/>
      <c r="G326" s="235"/>
      <c r="H326" s="200"/>
      <c r="I326" s="215"/>
      <c r="J326" s="197"/>
      <c r="K326" s="197"/>
      <c r="L326" s="218"/>
      <c r="M326" s="218"/>
      <c r="N326" s="219"/>
      <c r="O326" s="193"/>
      <c r="P326" s="203">
        <v>0</v>
      </c>
      <c r="Q326" s="203">
        <f t="shared" si="163"/>
        <v>0</v>
      </c>
      <c r="R326" s="204" t="s">
        <v>30</v>
      </c>
      <c r="S326" s="203">
        <v>0</v>
      </c>
      <c r="T326" s="204">
        <f t="shared" si="164"/>
        <v>0</v>
      </c>
      <c r="U326" s="204">
        <f t="shared" si="165"/>
        <v>0</v>
      </c>
      <c r="V326" s="197"/>
      <c r="W326" s="205"/>
      <c r="X326" s="195"/>
      <c r="Y326" s="217"/>
      <c r="Z326" s="207"/>
      <c r="AA326" s="208"/>
      <c r="AB326" s="206"/>
      <c r="AC326" s="206"/>
      <c r="AD326" s="207">
        <f t="shared" si="166"/>
        <v>7</v>
      </c>
      <c r="AE326" s="209">
        <f t="shared" si="152"/>
        <v>-7</v>
      </c>
      <c r="AF326" s="197" t="s">
        <v>50</v>
      </c>
      <c r="AG326" s="197" t="s">
        <v>49</v>
      </c>
      <c r="AH326" s="202">
        <f t="shared" si="131"/>
        <v>0</v>
      </c>
      <c r="AI326" s="210" t="e">
        <f>#REF!+5</f>
        <v>#REF!</v>
      </c>
      <c r="AJ326" s="197" t="s">
        <v>46</v>
      </c>
      <c r="AK326" s="211">
        <f t="shared" si="132"/>
        <v>0</v>
      </c>
      <c r="AL326" s="210">
        <f t="shared" si="167"/>
        <v>60</v>
      </c>
      <c r="AM326" s="197"/>
      <c r="AN326" s="194"/>
      <c r="AO326" s="202"/>
      <c r="AP326" s="202"/>
      <c r="AQ326" s="193"/>
      <c r="AR326" s="193"/>
      <c r="AS326" s="193"/>
      <c r="AT326" s="193"/>
      <c r="AU326" s="193"/>
      <c r="AV326" s="193"/>
      <c r="AW326" s="193"/>
      <c r="AX326" s="193"/>
      <c r="AY326" s="193"/>
      <c r="AZ326" s="193"/>
      <c r="BA326" s="193"/>
      <c r="BB326" s="193"/>
    </row>
    <row r="327" spans="1:55" s="213" customFormat="1" ht="24" customHeight="1">
      <c r="A327" s="197"/>
      <c r="B327" s="198"/>
      <c r="C327" s="198"/>
      <c r="D327" s="193"/>
      <c r="E327" s="216"/>
      <c r="F327" s="214"/>
      <c r="G327" s="235"/>
      <c r="H327" s="200"/>
      <c r="I327" s="215"/>
      <c r="J327" s="197"/>
      <c r="K327" s="197"/>
      <c r="L327" s="218"/>
      <c r="M327" s="218"/>
      <c r="N327" s="219"/>
      <c r="O327" s="193"/>
      <c r="P327" s="203">
        <v>0</v>
      </c>
      <c r="Q327" s="203">
        <f t="shared" si="163"/>
        <v>0</v>
      </c>
      <c r="R327" s="204" t="s">
        <v>30</v>
      </c>
      <c r="S327" s="203">
        <v>0</v>
      </c>
      <c r="T327" s="204">
        <f t="shared" si="164"/>
        <v>0</v>
      </c>
      <c r="U327" s="204">
        <f t="shared" si="165"/>
        <v>0</v>
      </c>
      <c r="V327" s="197"/>
      <c r="W327" s="205"/>
      <c r="X327" s="195"/>
      <c r="Y327" s="217"/>
      <c r="Z327" s="207"/>
      <c r="AA327" s="208"/>
      <c r="AB327" s="206"/>
      <c r="AC327" s="206"/>
      <c r="AD327" s="207">
        <f t="shared" si="166"/>
        <v>7</v>
      </c>
      <c r="AE327" s="209">
        <f t="shared" si="152"/>
        <v>-7</v>
      </c>
      <c r="AF327" s="197" t="s">
        <v>50</v>
      </c>
      <c r="AG327" s="197" t="s">
        <v>49</v>
      </c>
      <c r="AH327" s="202">
        <f t="shared" si="131"/>
        <v>0</v>
      </c>
      <c r="AI327" s="210" t="e">
        <f>#REF!+5</f>
        <v>#REF!</v>
      </c>
      <c r="AJ327" s="197" t="s">
        <v>46</v>
      </c>
      <c r="AK327" s="211">
        <f t="shared" si="132"/>
        <v>0</v>
      </c>
      <c r="AL327" s="210">
        <f t="shared" si="167"/>
        <v>60</v>
      </c>
      <c r="AM327" s="197"/>
      <c r="AN327" s="194"/>
      <c r="AO327" s="202"/>
      <c r="AP327" s="202"/>
      <c r="AQ327" s="193"/>
      <c r="AR327" s="193"/>
      <c r="AS327" s="193"/>
      <c r="AT327" s="193"/>
      <c r="AU327" s="193"/>
      <c r="AV327" s="193"/>
      <c r="AW327" s="193"/>
      <c r="AX327" s="193"/>
      <c r="AY327" s="193"/>
      <c r="AZ327" s="193"/>
      <c r="BA327" s="193"/>
      <c r="BB327" s="193"/>
    </row>
    <row r="328" spans="1:55" s="213" customFormat="1" ht="24" customHeight="1">
      <c r="A328" s="197"/>
      <c r="B328" s="198"/>
      <c r="C328" s="198"/>
      <c r="D328" s="193"/>
      <c r="E328" s="259"/>
      <c r="F328" s="259"/>
      <c r="G328" s="259"/>
      <c r="H328" s="200"/>
      <c r="I328" s="215"/>
      <c r="J328" s="197" t="s">
        <v>3</v>
      </c>
      <c r="K328" s="197" t="s">
        <v>30</v>
      </c>
      <c r="L328" s="201"/>
      <c r="M328" s="230"/>
      <c r="N328" s="202"/>
      <c r="O328" s="193" t="s">
        <v>31</v>
      </c>
      <c r="P328" s="203">
        <v>0</v>
      </c>
      <c r="Q328" s="203">
        <f t="shared" si="163"/>
        <v>0</v>
      </c>
      <c r="R328" s="204" t="s">
        <v>30</v>
      </c>
      <c r="S328" s="203">
        <v>0</v>
      </c>
      <c r="T328" s="204">
        <f t="shared" si="164"/>
        <v>0</v>
      </c>
      <c r="U328" s="204">
        <f t="shared" si="165"/>
        <v>0</v>
      </c>
      <c r="V328" s="197"/>
      <c r="W328" s="205"/>
      <c r="X328" s="192"/>
      <c r="Y328" s="206"/>
      <c r="Z328" s="207"/>
      <c r="AA328" s="208"/>
      <c r="AB328" s="206"/>
      <c r="AC328" s="207"/>
      <c r="AD328" s="207">
        <f t="shared" si="166"/>
        <v>7</v>
      </c>
      <c r="AE328" s="209">
        <f t="shared" si="152"/>
        <v>-7</v>
      </c>
      <c r="AF328" s="197"/>
      <c r="AG328" s="197"/>
      <c r="AH328" s="202">
        <f t="shared" si="131"/>
        <v>0</v>
      </c>
      <c r="AI328" s="210" t="e">
        <f>#REF!+5</f>
        <v>#REF!</v>
      </c>
      <c r="AJ328" s="197"/>
      <c r="AK328" s="211">
        <f t="shared" si="132"/>
        <v>0</v>
      </c>
      <c r="AL328" s="210">
        <f t="shared" si="167"/>
        <v>60</v>
      </c>
      <c r="AM328" s="197"/>
      <c r="AN328" s="202"/>
      <c r="AO328" s="195"/>
      <c r="AP328" s="195"/>
      <c r="AQ328" s="193"/>
      <c r="AR328" s="193"/>
      <c r="AS328" s="193"/>
      <c r="AT328" s="193"/>
      <c r="AU328" s="193"/>
      <c r="AV328" s="193"/>
      <c r="AW328" s="193"/>
      <c r="AX328" s="193"/>
      <c r="AY328" s="193"/>
      <c r="AZ328" s="193"/>
      <c r="BA328" s="193"/>
      <c r="BB328" s="193"/>
    </row>
    <row r="329" spans="1:55" s="213" customFormat="1" ht="24" customHeight="1">
      <c r="A329" s="197"/>
      <c r="B329" s="198"/>
      <c r="C329" s="198"/>
      <c r="D329" s="193"/>
      <c r="E329" s="259"/>
      <c r="F329" s="259"/>
      <c r="G329" s="259"/>
      <c r="H329" s="200"/>
      <c r="I329" s="215"/>
      <c r="J329" s="197" t="s">
        <v>3</v>
      </c>
      <c r="K329" s="197" t="s">
        <v>30</v>
      </c>
      <c r="L329" s="201"/>
      <c r="M329" s="230"/>
      <c r="N329" s="202"/>
      <c r="O329" s="193" t="s">
        <v>31</v>
      </c>
      <c r="P329" s="203">
        <v>0</v>
      </c>
      <c r="Q329" s="203">
        <f t="shared" si="163"/>
        <v>0</v>
      </c>
      <c r="R329" s="204" t="s">
        <v>30</v>
      </c>
      <c r="S329" s="203">
        <v>0</v>
      </c>
      <c r="T329" s="204">
        <f t="shared" si="164"/>
        <v>0</v>
      </c>
      <c r="U329" s="204">
        <f t="shared" si="165"/>
        <v>0</v>
      </c>
      <c r="V329" s="194"/>
      <c r="W329" s="205"/>
      <c r="X329" s="192"/>
      <c r="Y329" s="206"/>
      <c r="Z329" s="207"/>
      <c r="AA329" s="208"/>
      <c r="AB329" s="206"/>
      <c r="AC329" s="207"/>
      <c r="AD329" s="207">
        <f t="shared" si="166"/>
        <v>7</v>
      </c>
      <c r="AE329" s="209">
        <f t="shared" ref="AE329:AE351" si="168">AC329-AD329</f>
        <v>-7</v>
      </c>
      <c r="AF329" s="197"/>
      <c r="AG329" s="197"/>
      <c r="AH329" s="202">
        <f t="shared" si="131"/>
        <v>0</v>
      </c>
      <c r="AI329" s="210" t="e">
        <f>#REF!+5</f>
        <v>#REF!</v>
      </c>
      <c r="AJ329" s="197"/>
      <c r="AK329" s="211">
        <f t="shared" si="132"/>
        <v>0</v>
      </c>
      <c r="AL329" s="210">
        <f t="shared" si="167"/>
        <v>60</v>
      </c>
      <c r="AM329" s="197"/>
      <c r="AN329" s="202"/>
      <c r="AO329" s="195"/>
      <c r="AP329" s="195"/>
      <c r="AQ329" s="193"/>
      <c r="AR329" s="193"/>
      <c r="AS329" s="193"/>
      <c r="AT329" s="193"/>
      <c r="AU329" s="193"/>
      <c r="AV329" s="193"/>
      <c r="AW329" s="193"/>
      <c r="AX329" s="193"/>
      <c r="AY329" s="193"/>
      <c r="AZ329" s="193"/>
      <c r="BA329" s="193"/>
      <c r="BB329" s="193"/>
    </row>
    <row r="330" spans="1:55" s="213" customFormat="1" ht="24" customHeight="1">
      <c r="A330" s="197"/>
      <c r="B330" s="198"/>
      <c r="C330" s="198"/>
      <c r="D330" s="193"/>
      <c r="E330" s="259"/>
      <c r="F330" s="259"/>
      <c r="G330" s="259"/>
      <c r="H330" s="200"/>
      <c r="I330" s="215"/>
      <c r="J330" s="197" t="s">
        <v>3</v>
      </c>
      <c r="K330" s="197" t="s">
        <v>30</v>
      </c>
      <c r="L330" s="201"/>
      <c r="M330" s="230"/>
      <c r="N330" s="202"/>
      <c r="O330" s="193" t="s">
        <v>31</v>
      </c>
      <c r="P330" s="203">
        <v>0</v>
      </c>
      <c r="Q330" s="203">
        <f t="shared" si="163"/>
        <v>0</v>
      </c>
      <c r="R330" s="204" t="s">
        <v>30</v>
      </c>
      <c r="S330" s="203">
        <v>0</v>
      </c>
      <c r="T330" s="204">
        <f t="shared" si="164"/>
        <v>0</v>
      </c>
      <c r="U330" s="204">
        <f t="shared" si="165"/>
        <v>0</v>
      </c>
      <c r="V330" s="194"/>
      <c r="W330" s="205"/>
      <c r="X330" s="192"/>
      <c r="Y330" s="206"/>
      <c r="Z330" s="207"/>
      <c r="AA330" s="208"/>
      <c r="AB330" s="206"/>
      <c r="AC330" s="207"/>
      <c r="AD330" s="207">
        <f t="shared" si="166"/>
        <v>7</v>
      </c>
      <c r="AE330" s="209">
        <f t="shared" si="168"/>
        <v>-7</v>
      </c>
      <c r="AF330" s="197"/>
      <c r="AG330" s="197"/>
      <c r="AH330" s="202">
        <f t="shared" si="131"/>
        <v>0</v>
      </c>
      <c r="AI330" s="210" t="e">
        <f>#REF!+5</f>
        <v>#REF!</v>
      </c>
      <c r="AJ330" s="197"/>
      <c r="AK330" s="211">
        <f t="shared" si="132"/>
        <v>0</v>
      </c>
      <c r="AL330" s="210">
        <f t="shared" si="167"/>
        <v>60</v>
      </c>
      <c r="AM330" s="197"/>
      <c r="AN330" s="202"/>
      <c r="AO330" s="195"/>
      <c r="AP330" s="195"/>
      <c r="AQ330" s="193"/>
      <c r="AR330" s="193"/>
      <c r="AS330" s="193"/>
      <c r="AT330" s="193"/>
      <c r="AU330" s="193"/>
      <c r="AV330" s="193"/>
      <c r="AW330" s="193"/>
      <c r="AX330" s="193"/>
      <c r="AY330" s="193"/>
      <c r="AZ330" s="193"/>
      <c r="BA330" s="193"/>
      <c r="BB330" s="193"/>
    </row>
    <row r="331" spans="1:55" s="213" customFormat="1" ht="24" customHeight="1">
      <c r="A331" s="197"/>
      <c r="B331" s="198"/>
      <c r="C331" s="198"/>
      <c r="D331" s="193"/>
      <c r="E331" s="259"/>
      <c r="F331" s="259"/>
      <c r="G331" s="259"/>
      <c r="H331" s="200"/>
      <c r="I331" s="215"/>
      <c r="J331" s="197" t="s">
        <v>3</v>
      </c>
      <c r="K331" s="197" t="s">
        <v>30</v>
      </c>
      <c r="L331" s="201"/>
      <c r="M331" s="230"/>
      <c r="N331" s="202"/>
      <c r="O331" s="193" t="s">
        <v>31</v>
      </c>
      <c r="P331" s="203">
        <v>0</v>
      </c>
      <c r="Q331" s="203">
        <f t="shared" si="163"/>
        <v>0</v>
      </c>
      <c r="R331" s="204" t="s">
        <v>30</v>
      </c>
      <c r="S331" s="203">
        <v>0</v>
      </c>
      <c r="T331" s="204">
        <f t="shared" si="164"/>
        <v>0</v>
      </c>
      <c r="U331" s="204">
        <f t="shared" si="165"/>
        <v>0</v>
      </c>
      <c r="V331" s="194"/>
      <c r="W331" s="205"/>
      <c r="X331" s="192"/>
      <c r="Y331" s="206"/>
      <c r="Z331" s="207"/>
      <c r="AA331" s="208"/>
      <c r="AB331" s="206"/>
      <c r="AC331" s="207"/>
      <c r="AD331" s="207">
        <f t="shared" si="166"/>
        <v>7</v>
      </c>
      <c r="AE331" s="209">
        <f t="shared" si="168"/>
        <v>-7</v>
      </c>
      <c r="AF331" s="197"/>
      <c r="AG331" s="197"/>
      <c r="AH331" s="202">
        <f t="shared" si="131"/>
        <v>0</v>
      </c>
      <c r="AI331" s="210" t="e">
        <f>#REF!+5</f>
        <v>#REF!</v>
      </c>
      <c r="AJ331" s="197"/>
      <c r="AK331" s="211">
        <f t="shared" si="132"/>
        <v>0</v>
      </c>
      <c r="AL331" s="210">
        <f t="shared" si="167"/>
        <v>60</v>
      </c>
      <c r="AM331" s="197"/>
      <c r="AN331" s="202"/>
      <c r="AO331" s="195"/>
      <c r="AP331" s="195"/>
      <c r="AQ331" s="193"/>
      <c r="AR331" s="193"/>
      <c r="AS331" s="193"/>
      <c r="AT331" s="193"/>
      <c r="AU331" s="193"/>
      <c r="AV331" s="193"/>
      <c r="AW331" s="193"/>
      <c r="AX331" s="193"/>
      <c r="AY331" s="193"/>
      <c r="AZ331" s="193"/>
      <c r="BA331" s="193"/>
      <c r="BB331" s="193"/>
    </row>
    <row r="332" spans="1:55" s="213" customFormat="1" ht="24" customHeight="1">
      <c r="A332" s="197"/>
      <c r="B332" s="198"/>
      <c r="C332" s="198"/>
      <c r="D332" s="193"/>
      <c r="E332" s="259"/>
      <c r="F332" s="259"/>
      <c r="G332" s="259"/>
      <c r="H332" s="200"/>
      <c r="I332" s="215"/>
      <c r="J332" s="197" t="s">
        <v>3</v>
      </c>
      <c r="K332" s="197" t="s">
        <v>30</v>
      </c>
      <c r="L332" s="201"/>
      <c r="M332" s="230"/>
      <c r="N332" s="202"/>
      <c r="O332" s="193" t="s">
        <v>31</v>
      </c>
      <c r="P332" s="203">
        <v>0</v>
      </c>
      <c r="Q332" s="203">
        <f t="shared" si="163"/>
        <v>0</v>
      </c>
      <c r="R332" s="204" t="s">
        <v>30</v>
      </c>
      <c r="S332" s="203">
        <v>0</v>
      </c>
      <c r="T332" s="204">
        <f t="shared" si="164"/>
        <v>0</v>
      </c>
      <c r="U332" s="204">
        <f t="shared" si="165"/>
        <v>0</v>
      </c>
      <c r="V332" s="194"/>
      <c r="W332" s="205"/>
      <c r="X332" s="192"/>
      <c r="Y332" s="206"/>
      <c r="Z332" s="207"/>
      <c r="AA332" s="208"/>
      <c r="AB332" s="206"/>
      <c r="AC332" s="207"/>
      <c r="AD332" s="207">
        <f t="shared" si="166"/>
        <v>7</v>
      </c>
      <c r="AE332" s="209">
        <f t="shared" si="168"/>
        <v>-7</v>
      </c>
      <c r="AF332" s="197"/>
      <c r="AG332" s="197"/>
      <c r="AH332" s="202">
        <f t="shared" si="131"/>
        <v>0</v>
      </c>
      <c r="AI332" s="210" t="e">
        <f>#REF!+5</f>
        <v>#REF!</v>
      </c>
      <c r="AJ332" s="197"/>
      <c r="AK332" s="211">
        <f t="shared" si="132"/>
        <v>0</v>
      </c>
      <c r="AL332" s="210">
        <f t="shared" si="167"/>
        <v>60</v>
      </c>
      <c r="AM332" s="197"/>
      <c r="AN332" s="202"/>
      <c r="AO332" s="195"/>
      <c r="AP332" s="195"/>
      <c r="AQ332" s="193"/>
      <c r="AR332" s="193"/>
      <c r="AS332" s="193"/>
      <c r="AT332" s="193"/>
      <c r="AU332" s="193"/>
      <c r="AV332" s="193"/>
      <c r="AW332" s="193"/>
      <c r="AX332" s="193"/>
      <c r="AY332" s="193"/>
      <c r="AZ332" s="193"/>
      <c r="BA332" s="193"/>
      <c r="BB332" s="193"/>
    </row>
    <row r="333" spans="1:55" s="213" customFormat="1" ht="24" customHeight="1">
      <c r="A333" s="197"/>
      <c r="B333" s="198"/>
      <c r="C333" s="198"/>
      <c r="D333" s="193"/>
      <c r="E333" s="259"/>
      <c r="F333" s="259"/>
      <c r="G333" s="259"/>
      <c r="H333" s="200"/>
      <c r="I333" s="215"/>
      <c r="J333" s="197" t="s">
        <v>3</v>
      </c>
      <c r="K333" s="197" t="s">
        <v>30</v>
      </c>
      <c r="L333" s="201"/>
      <c r="M333" s="230"/>
      <c r="N333" s="202"/>
      <c r="O333" s="193" t="s">
        <v>31</v>
      </c>
      <c r="P333" s="203">
        <v>0</v>
      </c>
      <c r="Q333" s="203">
        <f t="shared" si="163"/>
        <v>0</v>
      </c>
      <c r="R333" s="204" t="s">
        <v>30</v>
      </c>
      <c r="S333" s="203">
        <v>0</v>
      </c>
      <c r="T333" s="204">
        <f t="shared" si="164"/>
        <v>0</v>
      </c>
      <c r="U333" s="204">
        <f t="shared" si="165"/>
        <v>0</v>
      </c>
      <c r="V333" s="194"/>
      <c r="W333" s="205"/>
      <c r="X333" s="192"/>
      <c r="Y333" s="206"/>
      <c r="Z333" s="207"/>
      <c r="AA333" s="208"/>
      <c r="AB333" s="206"/>
      <c r="AC333" s="207"/>
      <c r="AD333" s="207">
        <f t="shared" si="166"/>
        <v>7</v>
      </c>
      <c r="AE333" s="209">
        <f t="shared" si="168"/>
        <v>-7</v>
      </c>
      <c r="AF333" s="197"/>
      <c r="AG333" s="197"/>
      <c r="AH333" s="202">
        <f t="shared" si="131"/>
        <v>0</v>
      </c>
      <c r="AI333" s="210" t="e">
        <f>#REF!+5</f>
        <v>#REF!</v>
      </c>
      <c r="AJ333" s="197"/>
      <c r="AK333" s="211">
        <f t="shared" si="132"/>
        <v>0</v>
      </c>
      <c r="AL333" s="210">
        <f t="shared" si="167"/>
        <v>60</v>
      </c>
      <c r="AM333" s="197"/>
      <c r="AN333" s="202"/>
      <c r="AO333" s="195"/>
      <c r="AP333" s="195"/>
      <c r="AQ333" s="193"/>
      <c r="AR333" s="193"/>
      <c r="AS333" s="193"/>
      <c r="AT333" s="193"/>
      <c r="AU333" s="193"/>
      <c r="AV333" s="193"/>
      <c r="AW333" s="193"/>
      <c r="AX333" s="193"/>
      <c r="AY333" s="193"/>
      <c r="AZ333" s="193"/>
      <c r="BA333" s="193"/>
      <c r="BB333" s="193"/>
    </row>
    <row r="334" spans="1:55" s="213" customFormat="1" ht="24" customHeight="1">
      <c r="A334" s="197"/>
      <c r="B334" s="198"/>
      <c r="C334" s="198"/>
      <c r="D334" s="193"/>
      <c r="E334" s="259"/>
      <c r="F334" s="259"/>
      <c r="G334" s="259"/>
      <c r="H334" s="200"/>
      <c r="I334" s="215"/>
      <c r="J334" s="197" t="s">
        <v>3</v>
      </c>
      <c r="K334" s="197" t="s">
        <v>30</v>
      </c>
      <c r="L334" s="201"/>
      <c r="M334" s="230"/>
      <c r="N334" s="202"/>
      <c r="O334" s="193" t="s">
        <v>31</v>
      </c>
      <c r="P334" s="203">
        <v>0</v>
      </c>
      <c r="Q334" s="203">
        <f t="shared" si="163"/>
        <v>0</v>
      </c>
      <c r="R334" s="204" t="s">
        <v>30</v>
      </c>
      <c r="S334" s="203">
        <v>0</v>
      </c>
      <c r="T334" s="204">
        <f t="shared" si="164"/>
        <v>0</v>
      </c>
      <c r="U334" s="204">
        <f t="shared" si="165"/>
        <v>0</v>
      </c>
      <c r="V334" s="194"/>
      <c r="W334" s="205"/>
      <c r="X334" s="192"/>
      <c r="Y334" s="206"/>
      <c r="Z334" s="207"/>
      <c r="AA334" s="208"/>
      <c r="AB334" s="206"/>
      <c r="AC334" s="207"/>
      <c r="AD334" s="207">
        <f t="shared" si="166"/>
        <v>7</v>
      </c>
      <c r="AE334" s="209">
        <f t="shared" si="168"/>
        <v>-7</v>
      </c>
      <c r="AF334" s="197"/>
      <c r="AG334" s="197"/>
      <c r="AH334" s="202">
        <f t="shared" si="131"/>
        <v>0</v>
      </c>
      <c r="AI334" s="210" t="e">
        <f>#REF!+5</f>
        <v>#REF!</v>
      </c>
      <c r="AJ334" s="197"/>
      <c r="AK334" s="211">
        <f t="shared" si="132"/>
        <v>0</v>
      </c>
      <c r="AL334" s="210">
        <f t="shared" si="167"/>
        <v>60</v>
      </c>
      <c r="AM334" s="197"/>
      <c r="AN334" s="202"/>
      <c r="AO334" s="195"/>
      <c r="AP334" s="195"/>
      <c r="AQ334" s="193"/>
      <c r="AR334" s="193"/>
      <c r="AS334" s="193"/>
      <c r="AT334" s="193"/>
      <c r="AU334" s="193"/>
      <c r="AV334" s="193"/>
      <c r="AW334" s="193"/>
      <c r="AX334" s="193"/>
      <c r="AY334" s="193"/>
      <c r="AZ334" s="193"/>
      <c r="BA334" s="193"/>
      <c r="BB334" s="193"/>
    </row>
    <row r="335" spans="1:55" s="213" customFormat="1" ht="24" customHeight="1">
      <c r="A335" s="197"/>
      <c r="B335" s="198"/>
      <c r="C335" s="198"/>
      <c r="D335" s="193"/>
      <c r="E335" s="259"/>
      <c r="F335" s="259"/>
      <c r="G335" s="259"/>
      <c r="H335" s="200"/>
      <c r="I335" s="215"/>
      <c r="J335" s="197" t="s">
        <v>3</v>
      </c>
      <c r="K335" s="197" t="s">
        <v>30</v>
      </c>
      <c r="L335" s="201"/>
      <c r="M335" s="230"/>
      <c r="N335" s="202"/>
      <c r="O335" s="193" t="s">
        <v>31</v>
      </c>
      <c r="P335" s="203">
        <v>0</v>
      </c>
      <c r="Q335" s="203">
        <f t="shared" si="163"/>
        <v>0</v>
      </c>
      <c r="R335" s="204" t="s">
        <v>30</v>
      </c>
      <c r="S335" s="203">
        <v>0</v>
      </c>
      <c r="T335" s="204">
        <f t="shared" si="164"/>
        <v>0</v>
      </c>
      <c r="U335" s="204">
        <f t="shared" si="165"/>
        <v>0</v>
      </c>
      <c r="V335" s="194"/>
      <c r="W335" s="205"/>
      <c r="X335" s="192"/>
      <c r="Y335" s="206"/>
      <c r="Z335" s="207"/>
      <c r="AA335" s="208"/>
      <c r="AB335" s="206"/>
      <c r="AC335" s="207"/>
      <c r="AD335" s="207">
        <f t="shared" si="166"/>
        <v>7</v>
      </c>
      <c r="AE335" s="209">
        <f t="shared" si="168"/>
        <v>-7</v>
      </c>
      <c r="AF335" s="197"/>
      <c r="AG335" s="197"/>
      <c r="AH335" s="202">
        <f t="shared" si="131"/>
        <v>0</v>
      </c>
      <c r="AI335" s="210" t="e">
        <f>#REF!+5</f>
        <v>#REF!</v>
      </c>
      <c r="AJ335" s="197"/>
      <c r="AK335" s="211">
        <f t="shared" si="132"/>
        <v>0</v>
      </c>
      <c r="AL335" s="210">
        <f t="shared" si="167"/>
        <v>60</v>
      </c>
      <c r="AM335" s="197"/>
      <c r="AN335" s="202"/>
      <c r="AO335" s="195"/>
      <c r="AP335" s="195"/>
      <c r="AQ335" s="193"/>
      <c r="AR335" s="193"/>
      <c r="AS335" s="193"/>
      <c r="AT335" s="193"/>
      <c r="AU335" s="193"/>
      <c r="AV335" s="193"/>
      <c r="AW335" s="193"/>
      <c r="AX335" s="193"/>
      <c r="AY335" s="193"/>
      <c r="AZ335" s="193"/>
      <c r="BA335" s="193"/>
      <c r="BB335" s="193"/>
    </row>
    <row r="336" spans="1:55" s="213" customFormat="1" ht="24" customHeight="1">
      <c r="A336" s="197"/>
      <c r="B336" s="198"/>
      <c r="C336" s="198"/>
      <c r="D336" s="193"/>
      <c r="E336" s="259"/>
      <c r="F336" s="259"/>
      <c r="G336" s="259"/>
      <c r="H336" s="200"/>
      <c r="I336" s="215"/>
      <c r="J336" s="197" t="s">
        <v>3</v>
      </c>
      <c r="K336" s="197" t="s">
        <v>30</v>
      </c>
      <c r="L336" s="201"/>
      <c r="M336" s="230"/>
      <c r="N336" s="202"/>
      <c r="O336" s="193" t="s">
        <v>31</v>
      </c>
      <c r="P336" s="203">
        <v>0</v>
      </c>
      <c r="Q336" s="203">
        <f t="shared" si="163"/>
        <v>0</v>
      </c>
      <c r="R336" s="204" t="s">
        <v>30</v>
      </c>
      <c r="S336" s="203">
        <v>0</v>
      </c>
      <c r="T336" s="204">
        <f t="shared" si="164"/>
        <v>0</v>
      </c>
      <c r="U336" s="204">
        <f t="shared" si="165"/>
        <v>0</v>
      </c>
      <c r="V336" s="194"/>
      <c r="W336" s="205"/>
      <c r="X336" s="192"/>
      <c r="Y336" s="206"/>
      <c r="Z336" s="207"/>
      <c r="AA336" s="208"/>
      <c r="AB336" s="206"/>
      <c r="AC336" s="207"/>
      <c r="AD336" s="207">
        <f t="shared" si="166"/>
        <v>7</v>
      </c>
      <c r="AE336" s="209">
        <f t="shared" si="168"/>
        <v>-7</v>
      </c>
      <c r="AF336" s="197"/>
      <c r="AG336" s="197"/>
      <c r="AH336" s="202">
        <f t="shared" si="131"/>
        <v>0</v>
      </c>
      <c r="AI336" s="210" t="e">
        <f>#REF!+5</f>
        <v>#REF!</v>
      </c>
      <c r="AJ336" s="197"/>
      <c r="AK336" s="211">
        <f t="shared" si="132"/>
        <v>0</v>
      </c>
      <c r="AL336" s="210">
        <f t="shared" si="167"/>
        <v>60</v>
      </c>
      <c r="AM336" s="197"/>
      <c r="AN336" s="202"/>
      <c r="AO336" s="195"/>
      <c r="AP336" s="195"/>
      <c r="AQ336" s="193"/>
      <c r="AR336" s="193"/>
      <c r="AS336" s="193"/>
      <c r="AT336" s="193"/>
      <c r="AU336" s="193"/>
      <c r="AV336" s="193"/>
      <c r="AW336" s="193"/>
      <c r="AX336" s="193"/>
      <c r="AY336" s="193"/>
      <c r="AZ336" s="193"/>
      <c r="BA336" s="193"/>
      <c r="BB336" s="193"/>
    </row>
    <row r="337" spans="1:55" s="213" customFormat="1" ht="24" customHeight="1">
      <c r="A337" s="197"/>
      <c r="B337" s="198"/>
      <c r="C337" s="198"/>
      <c r="D337" s="193"/>
      <c r="E337" s="259"/>
      <c r="F337" s="259"/>
      <c r="G337" s="259"/>
      <c r="H337" s="200"/>
      <c r="I337" s="215"/>
      <c r="J337" s="197" t="s">
        <v>3</v>
      </c>
      <c r="K337" s="197" t="s">
        <v>30</v>
      </c>
      <c r="L337" s="201"/>
      <c r="M337" s="230"/>
      <c r="N337" s="202"/>
      <c r="O337" s="193" t="s">
        <v>31</v>
      </c>
      <c r="P337" s="203">
        <v>0</v>
      </c>
      <c r="Q337" s="203">
        <f t="shared" si="163"/>
        <v>0</v>
      </c>
      <c r="R337" s="204" t="s">
        <v>30</v>
      </c>
      <c r="S337" s="203">
        <v>0</v>
      </c>
      <c r="T337" s="204">
        <f t="shared" si="164"/>
        <v>0</v>
      </c>
      <c r="U337" s="204">
        <f t="shared" si="165"/>
        <v>0</v>
      </c>
      <c r="V337" s="194"/>
      <c r="W337" s="205"/>
      <c r="X337" s="192"/>
      <c r="Y337" s="206"/>
      <c r="Z337" s="207"/>
      <c r="AA337" s="208"/>
      <c r="AB337" s="206"/>
      <c r="AC337" s="207"/>
      <c r="AD337" s="207">
        <f t="shared" si="166"/>
        <v>7</v>
      </c>
      <c r="AE337" s="209">
        <f t="shared" si="168"/>
        <v>-7</v>
      </c>
      <c r="AF337" s="197"/>
      <c r="AG337" s="197"/>
      <c r="AH337" s="202">
        <f t="shared" si="131"/>
        <v>0</v>
      </c>
      <c r="AI337" s="210" t="e">
        <f>#REF!+5</f>
        <v>#REF!</v>
      </c>
      <c r="AJ337" s="197"/>
      <c r="AK337" s="211">
        <f t="shared" si="132"/>
        <v>0</v>
      </c>
      <c r="AL337" s="210">
        <f t="shared" si="167"/>
        <v>60</v>
      </c>
      <c r="AM337" s="197"/>
      <c r="AN337" s="202"/>
      <c r="AO337" s="195"/>
      <c r="AP337" s="195"/>
      <c r="AQ337" s="193"/>
      <c r="AR337" s="193"/>
      <c r="AS337" s="193"/>
      <c r="AT337" s="193"/>
      <c r="AU337" s="193"/>
      <c r="AV337" s="193"/>
      <c r="AW337" s="193"/>
      <c r="AX337" s="193"/>
      <c r="AY337" s="193"/>
      <c r="AZ337" s="193"/>
      <c r="BA337" s="193"/>
      <c r="BB337" s="193"/>
    </row>
    <row r="338" spans="1:55" s="213" customFormat="1" ht="24" customHeight="1">
      <c r="A338" s="197"/>
      <c r="B338" s="198"/>
      <c r="C338" s="198"/>
      <c r="D338" s="193"/>
      <c r="E338" s="259"/>
      <c r="F338" s="259"/>
      <c r="G338" s="259"/>
      <c r="H338" s="200"/>
      <c r="I338" s="215"/>
      <c r="J338" s="197" t="s">
        <v>3</v>
      </c>
      <c r="K338" s="197" t="s">
        <v>30</v>
      </c>
      <c r="L338" s="201"/>
      <c r="M338" s="230"/>
      <c r="N338" s="202"/>
      <c r="O338" s="193" t="s">
        <v>31</v>
      </c>
      <c r="P338" s="203">
        <v>0</v>
      </c>
      <c r="Q338" s="203">
        <f t="shared" si="163"/>
        <v>0</v>
      </c>
      <c r="R338" s="204" t="s">
        <v>30</v>
      </c>
      <c r="S338" s="203">
        <v>0</v>
      </c>
      <c r="T338" s="204">
        <f t="shared" si="164"/>
        <v>0</v>
      </c>
      <c r="U338" s="204">
        <f t="shared" si="165"/>
        <v>0</v>
      </c>
      <c r="V338" s="194"/>
      <c r="W338" s="205"/>
      <c r="X338" s="192"/>
      <c r="Y338" s="206"/>
      <c r="Z338" s="207"/>
      <c r="AA338" s="208"/>
      <c r="AB338" s="206"/>
      <c r="AC338" s="207"/>
      <c r="AD338" s="207">
        <f t="shared" si="166"/>
        <v>7</v>
      </c>
      <c r="AE338" s="209">
        <f t="shared" si="168"/>
        <v>-7</v>
      </c>
      <c r="AF338" s="197"/>
      <c r="AG338" s="197"/>
      <c r="AH338" s="202">
        <f t="shared" si="131"/>
        <v>0</v>
      </c>
      <c r="AI338" s="210" t="e">
        <f>#REF!+5</f>
        <v>#REF!</v>
      </c>
      <c r="AJ338" s="197"/>
      <c r="AK338" s="211">
        <f t="shared" si="132"/>
        <v>0</v>
      </c>
      <c r="AL338" s="210">
        <f t="shared" si="167"/>
        <v>60</v>
      </c>
      <c r="AM338" s="197"/>
      <c r="AN338" s="202"/>
      <c r="AO338" s="195"/>
      <c r="AP338" s="195"/>
      <c r="AQ338" s="193"/>
      <c r="AR338" s="193"/>
      <c r="AS338" s="193"/>
      <c r="AT338" s="193"/>
      <c r="AU338" s="193"/>
      <c r="AV338" s="193"/>
      <c r="AW338" s="193"/>
      <c r="AX338" s="193"/>
      <c r="AY338" s="193"/>
      <c r="AZ338" s="193"/>
      <c r="BA338" s="193"/>
      <c r="BB338" s="193"/>
    </row>
    <row r="339" spans="1:55" s="213" customFormat="1" ht="24" customHeight="1">
      <c r="A339" s="197"/>
      <c r="B339" s="198"/>
      <c r="C339" s="198"/>
      <c r="D339" s="193"/>
      <c r="E339" s="259"/>
      <c r="F339" s="259"/>
      <c r="G339" s="259"/>
      <c r="H339" s="200"/>
      <c r="I339" s="215"/>
      <c r="J339" s="197" t="s">
        <v>3</v>
      </c>
      <c r="K339" s="197" t="s">
        <v>30</v>
      </c>
      <c r="L339" s="201"/>
      <c r="M339" s="230"/>
      <c r="N339" s="202"/>
      <c r="O339" s="193" t="s">
        <v>31</v>
      </c>
      <c r="P339" s="203">
        <v>0</v>
      </c>
      <c r="Q339" s="203">
        <f t="shared" si="163"/>
        <v>0</v>
      </c>
      <c r="R339" s="204" t="s">
        <v>30</v>
      </c>
      <c r="S339" s="203">
        <v>0</v>
      </c>
      <c r="T339" s="204">
        <f t="shared" si="164"/>
        <v>0</v>
      </c>
      <c r="U339" s="204">
        <f t="shared" si="165"/>
        <v>0</v>
      </c>
      <c r="V339" s="194"/>
      <c r="W339" s="205"/>
      <c r="X339" s="192"/>
      <c r="Y339" s="206"/>
      <c r="Z339" s="207"/>
      <c r="AA339" s="208"/>
      <c r="AB339" s="206"/>
      <c r="AC339" s="207"/>
      <c r="AD339" s="207">
        <f t="shared" si="166"/>
        <v>7</v>
      </c>
      <c r="AE339" s="209">
        <f t="shared" si="168"/>
        <v>-7</v>
      </c>
      <c r="AF339" s="197"/>
      <c r="AG339" s="197"/>
      <c r="AH339" s="202">
        <f t="shared" si="131"/>
        <v>0</v>
      </c>
      <c r="AI339" s="210" t="e">
        <f>#REF!+5</f>
        <v>#REF!</v>
      </c>
      <c r="AJ339" s="197"/>
      <c r="AK339" s="211">
        <f t="shared" si="132"/>
        <v>0</v>
      </c>
      <c r="AL339" s="210">
        <f t="shared" si="167"/>
        <v>60</v>
      </c>
      <c r="AM339" s="197"/>
      <c r="AN339" s="202"/>
      <c r="AO339" s="195"/>
      <c r="AP339" s="195"/>
      <c r="AQ339" s="193"/>
      <c r="AR339" s="193"/>
      <c r="AS339" s="193"/>
      <c r="AT339" s="193"/>
      <c r="AU339" s="193"/>
      <c r="AV339" s="193"/>
      <c r="AW339" s="193"/>
      <c r="AX339" s="193"/>
      <c r="AY339" s="193"/>
      <c r="AZ339" s="193"/>
      <c r="BA339" s="193"/>
      <c r="BB339" s="193"/>
    </row>
    <row r="340" spans="1:55" s="213" customFormat="1" ht="24" customHeight="1">
      <c r="A340" s="197"/>
      <c r="B340" s="198"/>
      <c r="C340" s="198"/>
      <c r="D340" s="193"/>
      <c r="E340" s="259"/>
      <c r="F340" s="259"/>
      <c r="G340" s="259"/>
      <c r="H340" s="200"/>
      <c r="I340" s="215"/>
      <c r="J340" s="197" t="s">
        <v>3</v>
      </c>
      <c r="K340" s="197" t="s">
        <v>30</v>
      </c>
      <c r="L340" s="201"/>
      <c r="M340" s="230"/>
      <c r="N340" s="202"/>
      <c r="O340" s="193" t="s">
        <v>31</v>
      </c>
      <c r="P340" s="203">
        <v>0</v>
      </c>
      <c r="Q340" s="203">
        <f t="shared" si="163"/>
        <v>0</v>
      </c>
      <c r="R340" s="204" t="s">
        <v>30</v>
      </c>
      <c r="S340" s="203">
        <v>0</v>
      </c>
      <c r="T340" s="204">
        <f t="shared" si="164"/>
        <v>0</v>
      </c>
      <c r="U340" s="204">
        <f t="shared" si="165"/>
        <v>0</v>
      </c>
      <c r="V340" s="194"/>
      <c r="W340" s="205"/>
      <c r="X340" s="192"/>
      <c r="Y340" s="206"/>
      <c r="Z340" s="207"/>
      <c r="AA340" s="208"/>
      <c r="AB340" s="206"/>
      <c r="AC340" s="207"/>
      <c r="AD340" s="207">
        <f t="shared" si="166"/>
        <v>7</v>
      </c>
      <c r="AE340" s="209">
        <f t="shared" si="168"/>
        <v>-7</v>
      </c>
      <c r="AF340" s="197"/>
      <c r="AG340" s="197"/>
      <c r="AH340" s="202">
        <f t="shared" si="131"/>
        <v>0</v>
      </c>
      <c r="AI340" s="210" t="e">
        <f>#REF!+5</f>
        <v>#REF!</v>
      </c>
      <c r="AJ340" s="197"/>
      <c r="AK340" s="211">
        <f t="shared" si="132"/>
        <v>0</v>
      </c>
      <c r="AL340" s="210">
        <f t="shared" si="167"/>
        <v>60</v>
      </c>
      <c r="AM340" s="197"/>
      <c r="AN340" s="202"/>
      <c r="AO340" s="195"/>
      <c r="AP340" s="195"/>
      <c r="AQ340" s="193"/>
      <c r="AR340" s="193"/>
      <c r="AS340" s="193"/>
      <c r="AT340" s="193"/>
      <c r="AU340" s="193"/>
      <c r="AV340" s="193"/>
      <c r="AW340" s="193"/>
      <c r="AX340" s="193"/>
      <c r="AY340" s="193"/>
      <c r="AZ340" s="193"/>
      <c r="BA340" s="193"/>
      <c r="BB340" s="193"/>
    </row>
    <row r="341" spans="1:55" s="213" customFormat="1" ht="24" customHeight="1">
      <c r="A341" s="197"/>
      <c r="B341" s="198"/>
      <c r="C341" s="198"/>
      <c r="D341" s="193"/>
      <c r="E341" s="259"/>
      <c r="F341" s="259"/>
      <c r="G341" s="259"/>
      <c r="H341" s="200"/>
      <c r="I341" s="215"/>
      <c r="J341" s="197" t="s">
        <v>3</v>
      </c>
      <c r="K341" s="197" t="s">
        <v>30</v>
      </c>
      <c r="L341" s="201"/>
      <c r="M341" s="230"/>
      <c r="N341" s="202"/>
      <c r="O341" s="193" t="s">
        <v>31</v>
      </c>
      <c r="P341" s="203">
        <v>0</v>
      </c>
      <c r="Q341" s="203">
        <f t="shared" si="163"/>
        <v>0</v>
      </c>
      <c r="R341" s="204" t="s">
        <v>30</v>
      </c>
      <c r="S341" s="203">
        <v>0</v>
      </c>
      <c r="T341" s="204">
        <f t="shared" si="164"/>
        <v>0</v>
      </c>
      <c r="U341" s="204">
        <f t="shared" si="165"/>
        <v>0</v>
      </c>
      <c r="V341" s="194"/>
      <c r="W341" s="205"/>
      <c r="X341" s="192"/>
      <c r="Y341" s="206"/>
      <c r="Z341" s="207"/>
      <c r="AA341" s="208"/>
      <c r="AB341" s="206"/>
      <c r="AC341" s="207"/>
      <c r="AD341" s="207">
        <f t="shared" si="166"/>
        <v>7</v>
      </c>
      <c r="AE341" s="209">
        <f t="shared" si="168"/>
        <v>-7</v>
      </c>
      <c r="AF341" s="197"/>
      <c r="AG341" s="197"/>
      <c r="AH341" s="202">
        <f t="shared" ref="AH341:AH404" si="169">L341-M341</f>
        <v>0</v>
      </c>
      <c r="AI341" s="210" t="e">
        <f>#REF!+5</f>
        <v>#REF!</v>
      </c>
      <c r="AJ341" s="197"/>
      <c r="AK341" s="211">
        <f t="shared" ref="AK341:AK404" si="170">Y341-I341</f>
        <v>0</v>
      </c>
      <c r="AL341" s="210">
        <f t="shared" si="167"/>
        <v>60</v>
      </c>
      <c r="AM341" s="197"/>
      <c r="AN341" s="202"/>
      <c r="AO341" s="195"/>
      <c r="AP341" s="195"/>
      <c r="AQ341" s="193"/>
      <c r="AR341" s="193"/>
      <c r="AS341" s="193"/>
      <c r="AT341" s="193"/>
      <c r="AU341" s="193"/>
      <c r="AV341" s="193"/>
      <c r="AW341" s="193"/>
      <c r="AX341" s="193"/>
      <c r="AY341" s="193"/>
      <c r="AZ341" s="193"/>
      <c r="BA341" s="193"/>
      <c r="BB341" s="193"/>
    </row>
    <row r="342" spans="1:55" s="213" customFormat="1" ht="24" customHeight="1">
      <c r="A342" s="197"/>
      <c r="B342" s="198"/>
      <c r="C342" s="198"/>
      <c r="D342" s="193"/>
      <c r="E342" s="259"/>
      <c r="F342" s="259"/>
      <c r="G342" s="259"/>
      <c r="H342" s="200"/>
      <c r="I342" s="215"/>
      <c r="J342" s="197" t="s">
        <v>3</v>
      </c>
      <c r="K342" s="197" t="s">
        <v>30</v>
      </c>
      <c r="L342" s="201"/>
      <c r="M342" s="230"/>
      <c r="N342" s="202"/>
      <c r="O342" s="193" t="s">
        <v>31</v>
      </c>
      <c r="P342" s="203">
        <v>0</v>
      </c>
      <c r="Q342" s="203">
        <f t="shared" si="163"/>
        <v>0</v>
      </c>
      <c r="R342" s="204" t="s">
        <v>30</v>
      </c>
      <c r="S342" s="203">
        <v>0</v>
      </c>
      <c r="T342" s="204">
        <f t="shared" si="164"/>
        <v>0</v>
      </c>
      <c r="U342" s="204">
        <f t="shared" si="165"/>
        <v>0</v>
      </c>
      <c r="V342" s="194"/>
      <c r="W342" s="205"/>
      <c r="X342" s="192"/>
      <c r="Y342" s="206"/>
      <c r="Z342" s="207"/>
      <c r="AA342" s="208"/>
      <c r="AB342" s="206"/>
      <c r="AC342" s="207"/>
      <c r="AD342" s="207">
        <f t="shared" si="166"/>
        <v>7</v>
      </c>
      <c r="AE342" s="209">
        <f t="shared" si="168"/>
        <v>-7</v>
      </c>
      <c r="AF342" s="197"/>
      <c r="AG342" s="197"/>
      <c r="AH342" s="202">
        <f t="shared" si="169"/>
        <v>0</v>
      </c>
      <c r="AI342" s="210" t="e">
        <f>#REF!+5</f>
        <v>#REF!</v>
      </c>
      <c r="AJ342" s="197"/>
      <c r="AK342" s="211">
        <f t="shared" si="170"/>
        <v>0</v>
      </c>
      <c r="AL342" s="210">
        <f t="shared" si="167"/>
        <v>60</v>
      </c>
      <c r="AM342" s="197"/>
      <c r="AN342" s="202"/>
      <c r="AO342" s="195"/>
      <c r="AP342" s="195"/>
      <c r="AQ342" s="193"/>
      <c r="AR342" s="193"/>
      <c r="AS342" s="193"/>
      <c r="AT342" s="193"/>
      <c r="AU342" s="193"/>
      <c r="AV342" s="193"/>
      <c r="AW342" s="193"/>
      <c r="AX342" s="193"/>
      <c r="AY342" s="193"/>
      <c r="AZ342" s="193"/>
      <c r="BA342" s="193"/>
      <c r="BB342" s="193"/>
    </row>
    <row r="343" spans="1:55" s="213" customFormat="1" ht="24" customHeight="1">
      <c r="A343" s="197"/>
      <c r="B343" s="198"/>
      <c r="C343" s="198"/>
      <c r="D343" s="193"/>
      <c r="E343" s="259"/>
      <c r="F343" s="259"/>
      <c r="G343" s="259"/>
      <c r="H343" s="200"/>
      <c r="I343" s="215"/>
      <c r="J343" s="197" t="s">
        <v>3</v>
      </c>
      <c r="K343" s="197" t="s">
        <v>30</v>
      </c>
      <c r="L343" s="201"/>
      <c r="M343" s="230"/>
      <c r="N343" s="202"/>
      <c r="O343" s="193" t="s">
        <v>31</v>
      </c>
      <c r="P343" s="203">
        <v>0</v>
      </c>
      <c r="Q343" s="203">
        <f t="shared" si="163"/>
        <v>0</v>
      </c>
      <c r="R343" s="204" t="s">
        <v>30</v>
      </c>
      <c r="S343" s="203">
        <v>0</v>
      </c>
      <c r="T343" s="204">
        <f t="shared" si="164"/>
        <v>0</v>
      </c>
      <c r="U343" s="204">
        <f t="shared" si="165"/>
        <v>0</v>
      </c>
      <c r="V343" s="194"/>
      <c r="W343" s="205"/>
      <c r="X343" s="192"/>
      <c r="Y343" s="206"/>
      <c r="Z343" s="207"/>
      <c r="AA343" s="208"/>
      <c r="AB343" s="206"/>
      <c r="AC343" s="207"/>
      <c r="AD343" s="207">
        <f t="shared" si="166"/>
        <v>7</v>
      </c>
      <c r="AE343" s="209">
        <f t="shared" si="168"/>
        <v>-7</v>
      </c>
      <c r="AF343" s="197"/>
      <c r="AG343" s="197"/>
      <c r="AH343" s="202">
        <f t="shared" si="169"/>
        <v>0</v>
      </c>
      <c r="AI343" s="210" t="e">
        <f>#REF!+5</f>
        <v>#REF!</v>
      </c>
      <c r="AJ343" s="197"/>
      <c r="AK343" s="211">
        <f t="shared" si="170"/>
        <v>0</v>
      </c>
      <c r="AL343" s="210">
        <f t="shared" si="167"/>
        <v>60</v>
      </c>
      <c r="AM343" s="197"/>
      <c r="AN343" s="202"/>
      <c r="AO343" s="195"/>
      <c r="AP343" s="195"/>
      <c r="AQ343" s="193"/>
      <c r="AR343" s="193"/>
      <c r="AS343" s="193"/>
      <c r="AT343" s="193"/>
      <c r="AU343" s="193"/>
      <c r="AV343" s="193"/>
      <c r="AW343" s="193"/>
      <c r="AX343" s="193"/>
      <c r="AY343" s="193"/>
      <c r="AZ343" s="193"/>
      <c r="BA343" s="193"/>
      <c r="BB343" s="193"/>
    </row>
    <row r="344" spans="1:55" s="213" customFormat="1" ht="24" customHeight="1">
      <c r="A344" s="197"/>
      <c r="B344" s="198"/>
      <c r="C344" s="198"/>
      <c r="D344" s="193"/>
      <c r="E344" s="253"/>
      <c r="F344" s="253"/>
      <c r="G344" s="253"/>
      <c r="H344" s="200"/>
      <c r="I344" s="215"/>
      <c r="J344" s="197" t="s">
        <v>3</v>
      </c>
      <c r="K344" s="197" t="s">
        <v>30</v>
      </c>
      <c r="L344" s="201"/>
      <c r="M344" s="230"/>
      <c r="N344" s="202"/>
      <c r="O344" s="193" t="s">
        <v>31</v>
      </c>
      <c r="P344" s="203">
        <v>0</v>
      </c>
      <c r="Q344" s="203">
        <f t="shared" si="163"/>
        <v>0</v>
      </c>
      <c r="R344" s="204" t="s">
        <v>30</v>
      </c>
      <c r="S344" s="203">
        <v>0</v>
      </c>
      <c r="T344" s="204">
        <f t="shared" si="164"/>
        <v>0</v>
      </c>
      <c r="U344" s="204">
        <f t="shared" si="165"/>
        <v>0</v>
      </c>
      <c r="V344" s="197"/>
      <c r="W344" s="205"/>
      <c r="X344" s="192"/>
      <c r="Y344" s="206"/>
      <c r="Z344" s="207"/>
      <c r="AA344" s="208"/>
      <c r="AB344" s="206"/>
      <c r="AC344" s="207"/>
      <c r="AD344" s="207">
        <f t="shared" si="166"/>
        <v>7</v>
      </c>
      <c r="AE344" s="209">
        <f t="shared" si="168"/>
        <v>-7</v>
      </c>
      <c r="AF344" s="197"/>
      <c r="AG344" s="197"/>
      <c r="AH344" s="202">
        <f t="shared" si="169"/>
        <v>0</v>
      </c>
      <c r="AI344" s="210" t="e">
        <f>#REF!+5</f>
        <v>#REF!</v>
      </c>
      <c r="AJ344" s="197"/>
      <c r="AK344" s="211">
        <f t="shared" si="170"/>
        <v>0</v>
      </c>
      <c r="AL344" s="210">
        <f t="shared" si="167"/>
        <v>60</v>
      </c>
      <c r="AM344" s="197"/>
      <c r="AN344" s="202"/>
      <c r="AO344" s="195"/>
      <c r="AP344" s="195"/>
      <c r="AQ344" s="193"/>
      <c r="AR344" s="193"/>
      <c r="AS344" s="193"/>
      <c r="AT344" s="193"/>
      <c r="AU344" s="193"/>
      <c r="AV344" s="193"/>
      <c r="AW344" s="193"/>
      <c r="AX344" s="193"/>
      <c r="AY344" s="193"/>
      <c r="AZ344" s="193"/>
      <c r="BA344" s="193"/>
      <c r="BB344" s="193"/>
      <c r="BC344" s="373"/>
    </row>
    <row r="345" spans="1:55" s="213" customFormat="1" ht="24" customHeight="1">
      <c r="A345" s="197"/>
      <c r="B345" s="198"/>
      <c r="C345" s="198"/>
      <c r="D345" s="193"/>
      <c r="E345" s="253"/>
      <c r="F345" s="253"/>
      <c r="G345" s="253"/>
      <c r="H345" s="200"/>
      <c r="I345" s="215"/>
      <c r="J345" s="197" t="s">
        <v>3</v>
      </c>
      <c r="K345" s="197" t="s">
        <v>30</v>
      </c>
      <c r="L345" s="201"/>
      <c r="M345" s="230"/>
      <c r="N345" s="202"/>
      <c r="O345" s="193" t="s">
        <v>31</v>
      </c>
      <c r="P345" s="203">
        <v>0</v>
      </c>
      <c r="Q345" s="203">
        <f t="shared" si="163"/>
        <v>0</v>
      </c>
      <c r="R345" s="204" t="s">
        <v>30</v>
      </c>
      <c r="S345" s="203">
        <v>0</v>
      </c>
      <c r="T345" s="204">
        <f t="shared" si="164"/>
        <v>0</v>
      </c>
      <c r="U345" s="204">
        <f t="shared" si="165"/>
        <v>0</v>
      </c>
      <c r="V345" s="197"/>
      <c r="W345" s="205"/>
      <c r="X345" s="192"/>
      <c r="Y345" s="206"/>
      <c r="Z345" s="207"/>
      <c r="AA345" s="208"/>
      <c r="AB345" s="206"/>
      <c r="AC345" s="207"/>
      <c r="AD345" s="207">
        <f t="shared" si="166"/>
        <v>7</v>
      </c>
      <c r="AE345" s="209">
        <f t="shared" si="168"/>
        <v>-7</v>
      </c>
      <c r="AF345" s="197"/>
      <c r="AG345" s="197"/>
      <c r="AH345" s="202">
        <f t="shared" si="169"/>
        <v>0</v>
      </c>
      <c r="AI345" s="210" t="e">
        <f>#REF!+5</f>
        <v>#REF!</v>
      </c>
      <c r="AJ345" s="197"/>
      <c r="AK345" s="211">
        <f t="shared" si="170"/>
        <v>0</v>
      </c>
      <c r="AL345" s="210">
        <f t="shared" si="167"/>
        <v>60</v>
      </c>
      <c r="AM345" s="197"/>
      <c r="AN345" s="202"/>
      <c r="AO345" s="195"/>
      <c r="AP345" s="195"/>
      <c r="AQ345" s="193"/>
      <c r="AR345" s="193"/>
      <c r="AS345" s="193"/>
      <c r="AT345" s="193"/>
      <c r="AU345" s="193"/>
      <c r="AV345" s="193"/>
      <c r="AW345" s="193"/>
      <c r="AX345" s="193"/>
      <c r="AY345" s="193"/>
      <c r="AZ345" s="193"/>
      <c r="BA345" s="193"/>
      <c r="BB345" s="193"/>
      <c r="BC345" s="373"/>
    </row>
    <row r="346" spans="1:55" s="213" customFormat="1" ht="24" customHeight="1">
      <c r="A346" s="197"/>
      <c r="B346" s="198"/>
      <c r="C346" s="198"/>
      <c r="D346" s="193"/>
      <c r="E346" s="253"/>
      <c r="F346" s="253"/>
      <c r="G346" s="253"/>
      <c r="H346" s="200"/>
      <c r="I346" s="215"/>
      <c r="J346" s="197" t="s">
        <v>3</v>
      </c>
      <c r="K346" s="197" t="s">
        <v>30</v>
      </c>
      <c r="L346" s="201"/>
      <c r="M346" s="230"/>
      <c r="N346" s="202"/>
      <c r="O346" s="193" t="s">
        <v>31</v>
      </c>
      <c r="P346" s="203">
        <v>0</v>
      </c>
      <c r="Q346" s="203">
        <f t="shared" si="163"/>
        <v>0</v>
      </c>
      <c r="R346" s="204" t="s">
        <v>30</v>
      </c>
      <c r="S346" s="203">
        <v>0</v>
      </c>
      <c r="T346" s="204">
        <f t="shared" si="164"/>
        <v>0</v>
      </c>
      <c r="U346" s="204">
        <f t="shared" si="165"/>
        <v>0</v>
      </c>
      <c r="V346" s="197"/>
      <c r="W346" s="205"/>
      <c r="X346" s="192"/>
      <c r="Y346" s="206"/>
      <c r="Z346" s="207"/>
      <c r="AA346" s="208"/>
      <c r="AB346" s="206"/>
      <c r="AC346" s="207"/>
      <c r="AD346" s="207">
        <f t="shared" si="166"/>
        <v>7</v>
      </c>
      <c r="AE346" s="209">
        <f t="shared" si="168"/>
        <v>-7</v>
      </c>
      <c r="AF346" s="197"/>
      <c r="AG346" s="197"/>
      <c r="AH346" s="202">
        <f t="shared" si="169"/>
        <v>0</v>
      </c>
      <c r="AI346" s="210" t="e">
        <f>#REF!+5</f>
        <v>#REF!</v>
      </c>
      <c r="AJ346" s="197"/>
      <c r="AK346" s="211">
        <f t="shared" si="170"/>
        <v>0</v>
      </c>
      <c r="AL346" s="210">
        <f t="shared" si="167"/>
        <v>60</v>
      </c>
      <c r="AM346" s="197"/>
      <c r="AN346" s="202"/>
      <c r="AO346" s="195"/>
      <c r="AP346" s="195"/>
      <c r="AQ346" s="193"/>
      <c r="AR346" s="193"/>
      <c r="AS346" s="193"/>
      <c r="AT346" s="193"/>
      <c r="AU346" s="193"/>
      <c r="AV346" s="193"/>
      <c r="AW346" s="193"/>
      <c r="AX346" s="193"/>
      <c r="AY346" s="193"/>
      <c r="AZ346" s="193"/>
      <c r="BA346" s="193"/>
      <c r="BB346" s="193"/>
      <c r="BC346" s="373"/>
    </row>
    <row r="347" spans="1:55" s="250" customFormat="1" ht="24" customHeight="1">
      <c r="A347" s="260"/>
      <c r="B347" s="261"/>
      <c r="C347" s="261"/>
      <c r="D347" s="262"/>
      <c r="E347" s="261"/>
      <c r="F347" s="263"/>
      <c r="G347" s="261"/>
      <c r="H347" s="264"/>
      <c r="I347" s="215"/>
      <c r="J347" s="197" t="s">
        <v>3</v>
      </c>
      <c r="K347" s="197" t="s">
        <v>30</v>
      </c>
      <c r="L347" s="265"/>
      <c r="M347" s="265"/>
      <c r="N347" s="263"/>
      <c r="O347" s="262" t="s">
        <v>31</v>
      </c>
      <c r="P347" s="203">
        <v>0</v>
      </c>
      <c r="Q347" s="266">
        <f t="shared" si="163"/>
        <v>0</v>
      </c>
      <c r="R347" s="267" t="s">
        <v>30</v>
      </c>
      <c r="S347" s="203">
        <v>0</v>
      </c>
      <c r="T347" s="267">
        <f t="shared" si="164"/>
        <v>0</v>
      </c>
      <c r="U347" s="267">
        <f t="shared" si="165"/>
        <v>0</v>
      </c>
      <c r="V347" s="260"/>
      <c r="W347" s="268"/>
      <c r="X347" s="269"/>
      <c r="Y347" s="270"/>
      <c r="Z347" s="271"/>
      <c r="AA347" s="272"/>
      <c r="AB347" s="270"/>
      <c r="AC347" s="271"/>
      <c r="AD347" s="207">
        <f t="shared" si="166"/>
        <v>7</v>
      </c>
      <c r="AE347" s="273">
        <f t="shared" si="168"/>
        <v>-7</v>
      </c>
      <c r="AF347" s="260"/>
      <c r="AG347" s="260"/>
      <c r="AH347" s="263">
        <f t="shared" si="169"/>
        <v>0</v>
      </c>
      <c r="AI347" s="274" t="e">
        <f>#REF!+5</f>
        <v>#REF!</v>
      </c>
      <c r="AJ347" s="260"/>
      <c r="AK347" s="275">
        <f t="shared" si="170"/>
        <v>0</v>
      </c>
      <c r="AL347" s="274">
        <f t="shared" si="167"/>
        <v>60</v>
      </c>
      <c r="AM347" s="260"/>
      <c r="AN347" s="263"/>
      <c r="AO347" s="276"/>
      <c r="AP347" s="276"/>
      <c r="AQ347" s="193"/>
      <c r="AR347" s="193"/>
      <c r="AS347" s="193"/>
      <c r="AT347" s="193"/>
      <c r="AU347" s="193"/>
      <c r="AV347" s="193"/>
      <c r="AW347" s="193"/>
      <c r="AX347" s="193"/>
      <c r="AY347" s="193"/>
      <c r="AZ347" s="193"/>
      <c r="BA347" s="193"/>
      <c r="BB347" s="193"/>
    </row>
    <row r="348" spans="1:55" s="250" customFormat="1" ht="24" customHeight="1">
      <c r="A348" s="260"/>
      <c r="B348" s="261"/>
      <c r="C348" s="261"/>
      <c r="D348" s="262"/>
      <c r="E348" s="261"/>
      <c r="F348" s="276"/>
      <c r="G348" s="261"/>
      <c r="H348" s="264"/>
      <c r="I348" s="215"/>
      <c r="J348" s="197" t="s">
        <v>3</v>
      </c>
      <c r="K348" s="197" t="s">
        <v>30</v>
      </c>
      <c r="L348" s="265"/>
      <c r="M348" s="265"/>
      <c r="N348" s="263"/>
      <c r="O348" s="262" t="s">
        <v>31</v>
      </c>
      <c r="P348" s="203">
        <v>0</v>
      </c>
      <c r="Q348" s="266">
        <f t="shared" si="163"/>
        <v>0</v>
      </c>
      <c r="R348" s="267" t="s">
        <v>30</v>
      </c>
      <c r="S348" s="203">
        <v>0</v>
      </c>
      <c r="T348" s="267">
        <f t="shared" si="164"/>
        <v>0</v>
      </c>
      <c r="U348" s="267">
        <f t="shared" si="165"/>
        <v>0</v>
      </c>
      <c r="V348" s="260"/>
      <c r="W348" s="268"/>
      <c r="X348" s="269"/>
      <c r="Y348" s="270"/>
      <c r="Z348" s="271"/>
      <c r="AA348" s="272"/>
      <c r="AB348" s="270"/>
      <c r="AC348" s="271"/>
      <c r="AD348" s="207">
        <f t="shared" si="166"/>
        <v>7</v>
      </c>
      <c r="AE348" s="273">
        <f t="shared" si="168"/>
        <v>-7</v>
      </c>
      <c r="AF348" s="260"/>
      <c r="AG348" s="260"/>
      <c r="AH348" s="263">
        <f t="shared" si="169"/>
        <v>0</v>
      </c>
      <c r="AI348" s="274" t="e">
        <f>#REF!+5</f>
        <v>#REF!</v>
      </c>
      <c r="AJ348" s="260"/>
      <c r="AK348" s="275">
        <f t="shared" si="170"/>
        <v>0</v>
      </c>
      <c r="AL348" s="274">
        <f t="shared" si="167"/>
        <v>60</v>
      </c>
      <c r="AM348" s="260"/>
      <c r="AN348" s="263"/>
      <c r="AO348" s="276"/>
      <c r="AP348" s="276"/>
      <c r="AQ348" s="193"/>
      <c r="AR348" s="193"/>
      <c r="AS348" s="193"/>
      <c r="AT348" s="193"/>
      <c r="AU348" s="193"/>
      <c r="AV348" s="193"/>
      <c r="AW348" s="193"/>
      <c r="AX348" s="193"/>
      <c r="AY348" s="193"/>
      <c r="AZ348" s="193"/>
      <c r="BA348" s="193"/>
      <c r="BB348" s="193"/>
    </row>
    <row r="349" spans="1:55" s="213" customFormat="1" ht="24" customHeight="1">
      <c r="A349" s="197"/>
      <c r="B349" s="198"/>
      <c r="C349" s="194"/>
      <c r="D349" s="193"/>
      <c r="E349" s="199"/>
      <c r="F349" s="195"/>
      <c r="G349" s="231"/>
      <c r="H349" s="200"/>
      <c r="I349" s="215"/>
      <c r="J349" s="197" t="s">
        <v>3</v>
      </c>
      <c r="K349" s="197" t="s">
        <v>30</v>
      </c>
      <c r="L349" s="230"/>
      <c r="M349" s="230"/>
      <c r="N349" s="202"/>
      <c r="O349" s="193" t="s">
        <v>35</v>
      </c>
      <c r="P349" s="203">
        <v>0</v>
      </c>
      <c r="Q349" s="203">
        <f t="shared" si="163"/>
        <v>0</v>
      </c>
      <c r="R349" s="203" t="s">
        <v>34</v>
      </c>
      <c r="S349" s="203">
        <v>0</v>
      </c>
      <c r="T349" s="204">
        <f t="shared" si="164"/>
        <v>0</v>
      </c>
      <c r="U349" s="204">
        <f t="shared" si="165"/>
        <v>0</v>
      </c>
      <c r="V349" s="197"/>
      <c r="W349" s="205"/>
      <c r="X349" s="195"/>
      <c r="Y349" s="220"/>
      <c r="Z349" s="221"/>
      <c r="AA349" s="208"/>
      <c r="AB349" s="220"/>
      <c r="AC349" s="207"/>
      <c r="AD349" s="207">
        <f t="shared" si="166"/>
        <v>7</v>
      </c>
      <c r="AE349" s="209">
        <f t="shared" si="168"/>
        <v>-7</v>
      </c>
      <c r="AF349" s="197"/>
      <c r="AG349" s="197"/>
      <c r="AH349" s="202">
        <f t="shared" si="169"/>
        <v>0</v>
      </c>
      <c r="AI349" s="210" t="e">
        <f>#REF!+5</f>
        <v>#REF!</v>
      </c>
      <c r="AJ349" s="197"/>
      <c r="AK349" s="211">
        <f t="shared" si="170"/>
        <v>0</v>
      </c>
      <c r="AL349" s="210">
        <f>Y349+90</f>
        <v>90</v>
      </c>
      <c r="AM349" s="197"/>
      <c r="AN349" s="202"/>
      <c r="AO349" s="202"/>
      <c r="AP349" s="202"/>
      <c r="AQ349" s="193"/>
      <c r="AR349" s="193"/>
      <c r="AS349" s="193"/>
      <c r="AT349" s="193"/>
      <c r="AU349" s="193"/>
      <c r="AV349" s="193"/>
      <c r="AW349" s="193"/>
      <c r="AX349" s="193"/>
      <c r="AY349" s="193"/>
      <c r="AZ349" s="193"/>
      <c r="BA349" s="193"/>
      <c r="BB349" s="193"/>
    </row>
    <row r="350" spans="1:55" s="213" customFormat="1" ht="24" customHeight="1">
      <c r="A350" s="197"/>
      <c r="B350" s="198"/>
      <c r="C350" s="194"/>
      <c r="D350" s="193"/>
      <c r="E350" s="199"/>
      <c r="F350" s="195"/>
      <c r="G350" s="231"/>
      <c r="H350" s="200"/>
      <c r="I350" s="215"/>
      <c r="J350" s="197" t="s">
        <v>3</v>
      </c>
      <c r="K350" s="197" t="s">
        <v>30</v>
      </c>
      <c r="L350" s="230"/>
      <c r="M350" s="230"/>
      <c r="N350" s="202"/>
      <c r="O350" s="193" t="s">
        <v>35</v>
      </c>
      <c r="P350" s="203">
        <v>0</v>
      </c>
      <c r="Q350" s="203">
        <f t="shared" si="163"/>
        <v>0</v>
      </c>
      <c r="R350" s="203" t="s">
        <v>34</v>
      </c>
      <c r="S350" s="203">
        <v>0</v>
      </c>
      <c r="T350" s="204">
        <f t="shared" si="164"/>
        <v>0</v>
      </c>
      <c r="U350" s="204">
        <f t="shared" si="165"/>
        <v>0</v>
      </c>
      <c r="V350" s="197"/>
      <c r="W350" s="205"/>
      <c r="X350" s="195"/>
      <c r="Y350" s="220"/>
      <c r="Z350" s="221"/>
      <c r="AA350" s="208"/>
      <c r="AB350" s="220"/>
      <c r="AC350" s="207"/>
      <c r="AD350" s="207">
        <f t="shared" si="166"/>
        <v>7</v>
      </c>
      <c r="AE350" s="209">
        <f t="shared" si="168"/>
        <v>-7</v>
      </c>
      <c r="AF350" s="197"/>
      <c r="AG350" s="197"/>
      <c r="AH350" s="202">
        <f t="shared" si="169"/>
        <v>0</v>
      </c>
      <c r="AI350" s="210" t="e">
        <f>#REF!+5</f>
        <v>#REF!</v>
      </c>
      <c r="AJ350" s="197"/>
      <c r="AK350" s="211">
        <f t="shared" si="170"/>
        <v>0</v>
      </c>
      <c r="AL350" s="210">
        <f>Y350+90</f>
        <v>90</v>
      </c>
      <c r="AM350" s="197"/>
      <c r="AN350" s="202"/>
      <c r="AO350" s="202"/>
      <c r="AP350" s="202"/>
      <c r="AQ350" s="193"/>
      <c r="AR350" s="193"/>
      <c r="AS350" s="193"/>
      <c r="AT350" s="193"/>
      <c r="AU350" s="193"/>
      <c r="AV350" s="193"/>
      <c r="AW350" s="193"/>
      <c r="AX350" s="193"/>
      <c r="AY350" s="193"/>
      <c r="AZ350" s="193"/>
      <c r="BA350" s="193"/>
      <c r="BB350" s="193"/>
    </row>
    <row r="351" spans="1:55" s="213" customFormat="1" ht="24" customHeight="1">
      <c r="A351" s="197"/>
      <c r="B351" s="198"/>
      <c r="C351" s="198"/>
      <c r="D351" s="193"/>
      <c r="E351" s="198"/>
      <c r="F351" s="214"/>
      <c r="G351" s="198"/>
      <c r="H351" s="200"/>
      <c r="I351" s="277"/>
      <c r="J351" s="197" t="s">
        <v>3</v>
      </c>
      <c r="K351" s="197" t="s">
        <v>30</v>
      </c>
      <c r="L351" s="201"/>
      <c r="M351" s="201"/>
      <c r="N351" s="202"/>
      <c r="O351" s="193" t="s">
        <v>35</v>
      </c>
      <c r="P351" s="203">
        <v>0</v>
      </c>
      <c r="Q351" s="203">
        <f t="shared" si="163"/>
        <v>0</v>
      </c>
      <c r="R351" s="204" t="s">
        <v>37</v>
      </c>
      <c r="S351" s="203">
        <v>0</v>
      </c>
      <c r="T351" s="204">
        <f t="shared" si="164"/>
        <v>0</v>
      </c>
      <c r="U351" s="204">
        <f t="shared" si="165"/>
        <v>0</v>
      </c>
      <c r="V351" s="197"/>
      <c r="W351" s="205"/>
      <c r="X351" s="192"/>
      <c r="Y351" s="207"/>
      <c r="Z351" s="206"/>
      <c r="AA351" s="208"/>
      <c r="AB351" s="207"/>
      <c r="AC351" s="206"/>
      <c r="AD351" s="207">
        <f t="shared" si="166"/>
        <v>7</v>
      </c>
      <c r="AE351" s="209">
        <f t="shared" si="168"/>
        <v>-7</v>
      </c>
      <c r="AF351" s="197"/>
      <c r="AG351" s="197"/>
      <c r="AH351" s="202">
        <f t="shared" si="169"/>
        <v>0</v>
      </c>
      <c r="AI351" s="210" t="e">
        <f>#REF!+5</f>
        <v>#REF!</v>
      </c>
      <c r="AJ351" s="197"/>
      <c r="AK351" s="211">
        <f t="shared" si="170"/>
        <v>0</v>
      </c>
      <c r="AL351" s="210">
        <f>Y351+60</f>
        <v>60</v>
      </c>
      <c r="AM351" s="197"/>
      <c r="AN351" s="214"/>
      <c r="AO351" s="202"/>
      <c r="AP351" s="202"/>
      <c r="AQ351" s="193"/>
      <c r="AR351" s="193"/>
      <c r="AS351" s="193"/>
      <c r="AT351" s="193"/>
      <c r="AU351" s="193"/>
      <c r="AV351" s="193"/>
      <c r="AW351" s="193"/>
      <c r="AX351" s="193"/>
      <c r="AY351" s="193"/>
      <c r="AZ351" s="193"/>
      <c r="BA351" s="193"/>
      <c r="BB351" s="193"/>
    </row>
    <row r="352" spans="1:55" s="213" customFormat="1" ht="24" customHeight="1">
      <c r="A352" s="197"/>
      <c r="B352" s="198"/>
      <c r="C352" s="198"/>
      <c r="D352" s="193"/>
      <c r="E352" s="198"/>
      <c r="F352" s="214"/>
      <c r="G352" s="198"/>
      <c r="H352" s="200"/>
      <c r="I352" s="277"/>
      <c r="J352" s="197" t="s">
        <v>3</v>
      </c>
      <c r="K352" s="197" t="s">
        <v>30</v>
      </c>
      <c r="L352" s="201"/>
      <c r="M352" s="201"/>
      <c r="N352" s="202"/>
      <c r="O352" s="193" t="s">
        <v>35</v>
      </c>
      <c r="P352" s="203">
        <v>0</v>
      </c>
      <c r="Q352" s="203">
        <f t="shared" ref="Q352:Q395" si="171">M352*P352</f>
        <v>0</v>
      </c>
      <c r="R352" s="204" t="s">
        <v>37</v>
      </c>
      <c r="S352" s="203">
        <v>0</v>
      </c>
      <c r="T352" s="204">
        <f t="shared" si="164"/>
        <v>0</v>
      </c>
      <c r="U352" s="204">
        <f t="shared" si="165"/>
        <v>0</v>
      </c>
      <c r="V352" s="197"/>
      <c r="W352" s="205"/>
      <c r="X352" s="192"/>
      <c r="Y352" s="207"/>
      <c r="Z352" s="206"/>
      <c r="AA352" s="208"/>
      <c r="AB352" s="207"/>
      <c r="AC352" s="206"/>
      <c r="AD352" s="207">
        <f t="shared" ref="AD352:AD464" si="172">Y352+7</f>
        <v>7</v>
      </c>
      <c r="AE352" s="209">
        <f t="shared" ref="AE352:AE464" si="173">AC352-AD352</f>
        <v>-7</v>
      </c>
      <c r="AF352" s="197"/>
      <c r="AG352" s="197"/>
      <c r="AH352" s="202">
        <f t="shared" si="169"/>
        <v>0</v>
      </c>
      <c r="AI352" s="210" t="e">
        <f>#REF!+5</f>
        <v>#REF!</v>
      </c>
      <c r="AJ352" s="197"/>
      <c r="AK352" s="211">
        <f t="shared" si="170"/>
        <v>0</v>
      </c>
      <c r="AL352" s="210">
        <f>Y352+60</f>
        <v>60</v>
      </c>
      <c r="AM352" s="197"/>
      <c r="AN352" s="214"/>
      <c r="AO352" s="202"/>
      <c r="AP352" s="202"/>
      <c r="AQ352" s="193"/>
      <c r="AR352" s="193"/>
      <c r="AS352" s="193"/>
      <c r="AT352" s="193"/>
      <c r="AU352" s="193"/>
      <c r="AV352" s="193"/>
      <c r="AW352" s="193"/>
      <c r="AX352" s="193"/>
      <c r="AY352" s="193"/>
      <c r="AZ352" s="193"/>
      <c r="BA352" s="193"/>
      <c r="BB352" s="193"/>
    </row>
    <row r="353" spans="1:55" s="213" customFormat="1" ht="24" customHeight="1">
      <c r="A353" s="197"/>
      <c r="B353" s="198"/>
      <c r="C353" s="198"/>
      <c r="D353" s="193"/>
      <c r="E353" s="198"/>
      <c r="F353" s="214"/>
      <c r="G353" s="198"/>
      <c r="H353" s="200"/>
      <c r="I353" s="277"/>
      <c r="J353" s="197" t="s">
        <v>3</v>
      </c>
      <c r="K353" s="197" t="s">
        <v>30</v>
      </c>
      <c r="L353" s="201"/>
      <c r="M353" s="201"/>
      <c r="N353" s="202"/>
      <c r="O353" s="193" t="s">
        <v>35</v>
      </c>
      <c r="P353" s="203">
        <v>0</v>
      </c>
      <c r="Q353" s="203">
        <f t="shared" ref="Q353:Q360" si="174">M353*P353</f>
        <v>0</v>
      </c>
      <c r="R353" s="204" t="s">
        <v>37</v>
      </c>
      <c r="S353" s="203">
        <v>0</v>
      </c>
      <c r="T353" s="204">
        <f t="shared" ref="T353:T360" si="175">M353*S353</f>
        <v>0</v>
      </c>
      <c r="U353" s="204">
        <f t="shared" ref="U353:U360" si="176">P353-S353</f>
        <v>0</v>
      </c>
      <c r="V353" s="197"/>
      <c r="W353" s="205"/>
      <c r="X353" s="192"/>
      <c r="Y353" s="207"/>
      <c r="Z353" s="206"/>
      <c r="AA353" s="208"/>
      <c r="AB353" s="207"/>
      <c r="AC353" s="206"/>
      <c r="AD353" s="207">
        <f t="shared" ref="AD353:AD360" si="177">Y353+7</f>
        <v>7</v>
      </c>
      <c r="AE353" s="209">
        <f t="shared" ref="AE353:AE360" si="178">AC353-AD353</f>
        <v>-7</v>
      </c>
      <c r="AF353" s="197"/>
      <c r="AG353" s="197"/>
      <c r="AH353" s="202">
        <f t="shared" si="169"/>
        <v>0</v>
      </c>
      <c r="AI353" s="210" t="e">
        <f>#REF!+5</f>
        <v>#REF!</v>
      </c>
      <c r="AJ353" s="197"/>
      <c r="AK353" s="211">
        <f t="shared" si="170"/>
        <v>0</v>
      </c>
      <c r="AL353" s="210">
        <f>Y353+60</f>
        <v>60</v>
      </c>
      <c r="AM353" s="197"/>
      <c r="AN353" s="214"/>
      <c r="AO353" s="202"/>
      <c r="AP353" s="202"/>
      <c r="AQ353" s="193"/>
      <c r="AR353" s="193"/>
      <c r="AS353" s="193"/>
      <c r="AT353" s="193"/>
      <c r="AU353" s="193"/>
      <c r="AV353" s="193"/>
      <c r="AW353" s="193"/>
      <c r="AX353" s="193"/>
      <c r="AY353" s="193"/>
      <c r="AZ353" s="193"/>
      <c r="BA353" s="193"/>
      <c r="BB353" s="193"/>
    </row>
    <row r="354" spans="1:55" s="213" customFormat="1" ht="24" customHeight="1">
      <c r="A354" s="197"/>
      <c r="B354" s="198"/>
      <c r="C354" s="198"/>
      <c r="D354" s="193"/>
      <c r="E354" s="278"/>
      <c r="F354" s="216"/>
      <c r="G354" s="235"/>
      <c r="H354" s="200"/>
      <c r="I354" s="200"/>
      <c r="J354" s="197" t="s">
        <v>3</v>
      </c>
      <c r="K354" s="197" t="s">
        <v>30</v>
      </c>
      <c r="L354" s="218"/>
      <c r="M354" s="218"/>
      <c r="N354" s="202"/>
      <c r="O354" s="193" t="s">
        <v>31</v>
      </c>
      <c r="P354" s="203">
        <v>0</v>
      </c>
      <c r="Q354" s="203">
        <f t="shared" si="174"/>
        <v>0</v>
      </c>
      <c r="R354" s="203" t="s">
        <v>30</v>
      </c>
      <c r="S354" s="203">
        <v>0</v>
      </c>
      <c r="T354" s="204">
        <f t="shared" si="175"/>
        <v>0</v>
      </c>
      <c r="U354" s="204">
        <f t="shared" si="176"/>
        <v>0</v>
      </c>
      <c r="V354" s="197"/>
      <c r="W354" s="205"/>
      <c r="X354" s="195"/>
      <c r="Y354" s="206"/>
      <c r="Z354" s="220"/>
      <c r="AA354" s="208"/>
      <c r="AB354" s="206"/>
      <c r="AC354" s="206"/>
      <c r="AD354" s="207">
        <f t="shared" si="177"/>
        <v>7</v>
      </c>
      <c r="AE354" s="209">
        <f t="shared" si="178"/>
        <v>-7</v>
      </c>
      <c r="AF354" s="197"/>
      <c r="AG354" s="197"/>
      <c r="AH354" s="202">
        <f t="shared" si="169"/>
        <v>0</v>
      </c>
      <c r="AI354" s="210" t="e">
        <f>#REF!+5</f>
        <v>#REF!</v>
      </c>
      <c r="AJ354" s="197"/>
      <c r="AK354" s="211">
        <f t="shared" si="170"/>
        <v>0</v>
      </c>
      <c r="AL354" s="210">
        <f t="shared" ref="AL354:AL360" si="179">Y354+90</f>
        <v>90</v>
      </c>
      <c r="AM354" s="192"/>
      <c r="AN354" s="202"/>
      <c r="AO354" s="202"/>
      <c r="AP354" s="202"/>
      <c r="AQ354" s="193"/>
      <c r="AR354" s="193"/>
      <c r="AS354" s="193"/>
      <c r="AT354" s="193"/>
      <c r="AU354" s="193"/>
      <c r="AV354" s="193"/>
      <c r="AW354" s="193"/>
      <c r="AX354" s="193"/>
      <c r="AY354" s="193"/>
      <c r="AZ354" s="193"/>
      <c r="BA354" s="193"/>
      <c r="BB354" s="193"/>
    </row>
    <row r="355" spans="1:55" s="213" customFormat="1" ht="24" customHeight="1">
      <c r="A355" s="197"/>
      <c r="B355" s="198"/>
      <c r="C355" s="198"/>
      <c r="D355" s="193"/>
      <c r="E355" s="278"/>
      <c r="F355" s="216"/>
      <c r="G355" s="235"/>
      <c r="H355" s="200"/>
      <c r="I355" s="200"/>
      <c r="J355" s="197" t="s">
        <v>3</v>
      </c>
      <c r="K355" s="197" t="s">
        <v>30</v>
      </c>
      <c r="L355" s="218"/>
      <c r="M355" s="218"/>
      <c r="N355" s="202"/>
      <c r="O355" s="193" t="s">
        <v>31</v>
      </c>
      <c r="P355" s="203">
        <v>0</v>
      </c>
      <c r="Q355" s="203">
        <f t="shared" si="174"/>
        <v>0</v>
      </c>
      <c r="R355" s="203" t="s">
        <v>30</v>
      </c>
      <c r="S355" s="203">
        <v>0</v>
      </c>
      <c r="T355" s="204">
        <f t="shared" si="175"/>
        <v>0</v>
      </c>
      <c r="U355" s="204">
        <f t="shared" si="176"/>
        <v>0</v>
      </c>
      <c r="V355" s="197"/>
      <c r="W355" s="205"/>
      <c r="X355" s="195"/>
      <c r="Y355" s="206"/>
      <c r="Z355" s="220"/>
      <c r="AA355" s="208"/>
      <c r="AB355" s="206"/>
      <c r="AC355" s="206"/>
      <c r="AD355" s="207">
        <f t="shared" si="177"/>
        <v>7</v>
      </c>
      <c r="AE355" s="209">
        <f t="shared" si="178"/>
        <v>-7</v>
      </c>
      <c r="AF355" s="197"/>
      <c r="AG355" s="197"/>
      <c r="AH355" s="202">
        <f t="shared" si="169"/>
        <v>0</v>
      </c>
      <c r="AI355" s="210" t="e">
        <f>#REF!+5</f>
        <v>#REF!</v>
      </c>
      <c r="AJ355" s="197"/>
      <c r="AK355" s="211">
        <f t="shared" si="170"/>
        <v>0</v>
      </c>
      <c r="AL355" s="210">
        <f t="shared" si="179"/>
        <v>90</v>
      </c>
      <c r="AM355" s="192"/>
      <c r="AN355" s="202"/>
      <c r="AO355" s="202"/>
      <c r="AP355" s="202"/>
      <c r="AQ355" s="193"/>
      <c r="AR355" s="193"/>
      <c r="AS355" s="193"/>
      <c r="AT355" s="193"/>
      <c r="AU355" s="193"/>
      <c r="AV355" s="193"/>
      <c r="AW355" s="193"/>
      <c r="AX355" s="193"/>
      <c r="AY355" s="193"/>
      <c r="AZ355" s="193"/>
      <c r="BA355" s="193"/>
      <c r="BB355" s="193"/>
    </row>
    <row r="356" spans="1:55" s="213" customFormat="1" ht="24" customHeight="1">
      <c r="A356" s="197"/>
      <c r="B356" s="198"/>
      <c r="C356" s="198"/>
      <c r="D356" s="193"/>
      <c r="E356" s="278"/>
      <c r="F356" s="216"/>
      <c r="G356" s="235"/>
      <c r="H356" s="200"/>
      <c r="I356" s="200"/>
      <c r="J356" s="197" t="s">
        <v>3</v>
      </c>
      <c r="K356" s="197" t="s">
        <v>30</v>
      </c>
      <c r="L356" s="218"/>
      <c r="M356" s="218"/>
      <c r="N356" s="202"/>
      <c r="O356" s="193" t="s">
        <v>31</v>
      </c>
      <c r="P356" s="203">
        <v>0</v>
      </c>
      <c r="Q356" s="203">
        <f t="shared" si="174"/>
        <v>0</v>
      </c>
      <c r="R356" s="203" t="s">
        <v>30</v>
      </c>
      <c r="S356" s="203">
        <v>0</v>
      </c>
      <c r="T356" s="204">
        <f t="shared" si="175"/>
        <v>0</v>
      </c>
      <c r="U356" s="204">
        <f t="shared" si="176"/>
        <v>0</v>
      </c>
      <c r="V356" s="197"/>
      <c r="W356" s="205"/>
      <c r="X356" s="195"/>
      <c r="Y356" s="206"/>
      <c r="Z356" s="220"/>
      <c r="AA356" s="208"/>
      <c r="AB356" s="206"/>
      <c r="AC356" s="206"/>
      <c r="AD356" s="207">
        <f t="shared" si="177"/>
        <v>7</v>
      </c>
      <c r="AE356" s="209">
        <f t="shared" si="178"/>
        <v>-7</v>
      </c>
      <c r="AF356" s="197"/>
      <c r="AG356" s="197"/>
      <c r="AH356" s="202">
        <f t="shared" si="169"/>
        <v>0</v>
      </c>
      <c r="AI356" s="210" t="e">
        <f>#REF!+5</f>
        <v>#REF!</v>
      </c>
      <c r="AJ356" s="197"/>
      <c r="AK356" s="211">
        <f t="shared" si="170"/>
        <v>0</v>
      </c>
      <c r="AL356" s="210">
        <f t="shared" si="179"/>
        <v>90</v>
      </c>
      <c r="AM356" s="192"/>
      <c r="AN356" s="202"/>
      <c r="AO356" s="202"/>
      <c r="AP356" s="202"/>
      <c r="AQ356" s="193"/>
      <c r="AR356" s="193"/>
      <c r="AS356" s="193"/>
      <c r="AT356" s="193"/>
      <c r="AU356" s="193"/>
      <c r="AV356" s="193"/>
      <c r="AW356" s="193"/>
      <c r="AX356" s="193"/>
      <c r="AY356" s="193"/>
      <c r="AZ356" s="193"/>
      <c r="BA356" s="193"/>
      <c r="BB356" s="193"/>
    </row>
    <row r="357" spans="1:55" s="213" customFormat="1" ht="24" customHeight="1">
      <c r="A357" s="197"/>
      <c r="B357" s="198"/>
      <c r="C357" s="198"/>
      <c r="D357" s="193"/>
      <c r="E357" s="278"/>
      <c r="F357" s="216"/>
      <c r="G357" s="279"/>
      <c r="H357" s="200"/>
      <c r="I357" s="200"/>
      <c r="J357" s="197" t="s">
        <v>3</v>
      </c>
      <c r="K357" s="197" t="s">
        <v>30</v>
      </c>
      <c r="L357" s="218"/>
      <c r="M357" s="218"/>
      <c r="N357" s="202"/>
      <c r="O357" s="193" t="s">
        <v>31</v>
      </c>
      <c r="P357" s="203">
        <v>0</v>
      </c>
      <c r="Q357" s="203">
        <f t="shared" si="174"/>
        <v>0</v>
      </c>
      <c r="R357" s="203" t="s">
        <v>30</v>
      </c>
      <c r="S357" s="203">
        <v>0</v>
      </c>
      <c r="T357" s="204">
        <f t="shared" si="175"/>
        <v>0</v>
      </c>
      <c r="U357" s="204">
        <f t="shared" si="176"/>
        <v>0</v>
      </c>
      <c r="V357" s="197"/>
      <c r="W357" s="205"/>
      <c r="X357" s="195"/>
      <c r="Y357" s="206"/>
      <c r="Z357" s="220"/>
      <c r="AA357" s="208"/>
      <c r="AB357" s="206"/>
      <c r="AC357" s="206"/>
      <c r="AD357" s="207">
        <f t="shared" si="177"/>
        <v>7</v>
      </c>
      <c r="AE357" s="209">
        <f t="shared" si="178"/>
        <v>-7</v>
      </c>
      <c r="AF357" s="197"/>
      <c r="AG357" s="197"/>
      <c r="AH357" s="202">
        <f t="shared" si="169"/>
        <v>0</v>
      </c>
      <c r="AI357" s="210" t="e">
        <f>#REF!+5</f>
        <v>#REF!</v>
      </c>
      <c r="AJ357" s="197"/>
      <c r="AK357" s="211">
        <f t="shared" si="170"/>
        <v>0</v>
      </c>
      <c r="AL357" s="210">
        <f t="shared" si="179"/>
        <v>90</v>
      </c>
      <c r="AM357" s="192"/>
      <c r="AN357" s="202"/>
      <c r="AO357" s="202"/>
      <c r="AP357" s="202"/>
      <c r="AQ357" s="193"/>
      <c r="AR357" s="193"/>
      <c r="AS357" s="193"/>
      <c r="AT357" s="193"/>
      <c r="AU357" s="193"/>
      <c r="AV357" s="193"/>
      <c r="AW357" s="193"/>
      <c r="AX357" s="193"/>
      <c r="AY357" s="193"/>
      <c r="AZ357" s="193"/>
      <c r="BA357" s="193"/>
      <c r="BB357" s="193"/>
    </row>
    <row r="358" spans="1:55" s="213" customFormat="1" ht="24" customHeight="1">
      <c r="A358" s="197"/>
      <c r="B358" s="198"/>
      <c r="C358" s="198"/>
      <c r="D358" s="193"/>
      <c r="E358" s="278"/>
      <c r="F358" s="216"/>
      <c r="G358" s="235"/>
      <c r="H358" s="200"/>
      <c r="I358" s="200"/>
      <c r="J358" s="197" t="s">
        <v>3</v>
      </c>
      <c r="K358" s="197" t="s">
        <v>30</v>
      </c>
      <c r="L358" s="218"/>
      <c r="M358" s="218"/>
      <c r="N358" s="202"/>
      <c r="O358" s="193" t="s">
        <v>31</v>
      </c>
      <c r="P358" s="203">
        <v>0</v>
      </c>
      <c r="Q358" s="203">
        <f t="shared" si="174"/>
        <v>0</v>
      </c>
      <c r="R358" s="203" t="s">
        <v>30</v>
      </c>
      <c r="S358" s="203">
        <v>0</v>
      </c>
      <c r="T358" s="204">
        <f t="shared" si="175"/>
        <v>0</v>
      </c>
      <c r="U358" s="204">
        <f t="shared" si="176"/>
        <v>0</v>
      </c>
      <c r="V358" s="197"/>
      <c r="W358" s="205"/>
      <c r="X358" s="195"/>
      <c r="Y358" s="206"/>
      <c r="Z358" s="220"/>
      <c r="AA358" s="208"/>
      <c r="AB358" s="206"/>
      <c r="AC358" s="206"/>
      <c r="AD358" s="207">
        <f t="shared" si="177"/>
        <v>7</v>
      </c>
      <c r="AE358" s="209">
        <f t="shared" si="178"/>
        <v>-7</v>
      </c>
      <c r="AF358" s="197"/>
      <c r="AG358" s="197"/>
      <c r="AH358" s="202">
        <f t="shared" si="169"/>
        <v>0</v>
      </c>
      <c r="AI358" s="210" t="e">
        <f>#REF!+5</f>
        <v>#REF!</v>
      </c>
      <c r="AJ358" s="197"/>
      <c r="AK358" s="211">
        <f t="shared" si="170"/>
        <v>0</v>
      </c>
      <c r="AL358" s="210">
        <f t="shared" si="179"/>
        <v>90</v>
      </c>
      <c r="AM358" s="192"/>
      <c r="AN358" s="202"/>
      <c r="AO358" s="202"/>
      <c r="AP358" s="202"/>
      <c r="AQ358" s="193"/>
      <c r="AR358" s="193"/>
      <c r="AS358" s="193"/>
      <c r="AT358" s="193"/>
      <c r="AU358" s="193"/>
      <c r="AV358" s="193"/>
      <c r="AW358" s="193"/>
      <c r="AX358" s="193"/>
      <c r="AY358" s="193"/>
      <c r="AZ358" s="193"/>
      <c r="BA358" s="193"/>
      <c r="BB358" s="193"/>
    </row>
    <row r="359" spans="1:55" s="213" customFormat="1" ht="24" customHeight="1">
      <c r="A359" s="197"/>
      <c r="B359" s="198"/>
      <c r="C359" s="198"/>
      <c r="D359" s="193"/>
      <c r="E359" s="278"/>
      <c r="F359" s="216"/>
      <c r="G359" s="235"/>
      <c r="H359" s="200"/>
      <c r="I359" s="200"/>
      <c r="J359" s="197" t="s">
        <v>3</v>
      </c>
      <c r="K359" s="197" t="s">
        <v>30</v>
      </c>
      <c r="L359" s="218"/>
      <c r="M359" s="218"/>
      <c r="N359" s="202"/>
      <c r="O359" s="193" t="s">
        <v>31</v>
      </c>
      <c r="P359" s="203">
        <v>0</v>
      </c>
      <c r="Q359" s="203">
        <f t="shared" si="174"/>
        <v>0</v>
      </c>
      <c r="R359" s="203" t="s">
        <v>30</v>
      </c>
      <c r="S359" s="266">
        <v>0</v>
      </c>
      <c r="T359" s="204">
        <f t="shared" si="175"/>
        <v>0</v>
      </c>
      <c r="U359" s="204">
        <f t="shared" si="176"/>
        <v>0</v>
      </c>
      <c r="V359" s="197"/>
      <c r="W359" s="205"/>
      <c r="X359" s="195"/>
      <c r="Y359" s="206"/>
      <c r="Z359" s="220"/>
      <c r="AA359" s="208"/>
      <c r="AB359" s="206"/>
      <c r="AC359" s="206"/>
      <c r="AD359" s="207">
        <f t="shared" si="177"/>
        <v>7</v>
      </c>
      <c r="AE359" s="209">
        <f t="shared" si="178"/>
        <v>-7</v>
      </c>
      <c r="AF359" s="197"/>
      <c r="AG359" s="197"/>
      <c r="AH359" s="202">
        <f t="shared" si="169"/>
        <v>0</v>
      </c>
      <c r="AI359" s="210" t="e">
        <f>#REF!+5</f>
        <v>#REF!</v>
      </c>
      <c r="AJ359" s="197"/>
      <c r="AK359" s="211">
        <f t="shared" si="170"/>
        <v>0</v>
      </c>
      <c r="AL359" s="210">
        <f t="shared" si="179"/>
        <v>90</v>
      </c>
      <c r="AM359" s="192"/>
      <c r="AN359" s="202"/>
      <c r="AO359" s="202"/>
      <c r="AP359" s="202"/>
      <c r="AQ359" s="193"/>
      <c r="AR359" s="193"/>
      <c r="AS359" s="193"/>
      <c r="AT359" s="193"/>
      <c r="AU359" s="193"/>
      <c r="AV359" s="193"/>
      <c r="AW359" s="193"/>
      <c r="AX359" s="193"/>
      <c r="AY359" s="193"/>
      <c r="AZ359" s="193"/>
      <c r="BA359" s="193"/>
      <c r="BB359" s="193"/>
    </row>
    <row r="360" spans="1:55" s="213" customFormat="1" ht="24" customHeight="1">
      <c r="A360" s="197"/>
      <c r="B360" s="198"/>
      <c r="C360" s="198"/>
      <c r="D360" s="193"/>
      <c r="E360" s="278"/>
      <c r="F360" s="280"/>
      <c r="G360" s="235"/>
      <c r="H360" s="200"/>
      <c r="I360" s="200"/>
      <c r="J360" s="197" t="s">
        <v>3</v>
      </c>
      <c r="K360" s="197" t="s">
        <v>30</v>
      </c>
      <c r="L360" s="218"/>
      <c r="M360" s="218"/>
      <c r="N360" s="202"/>
      <c r="O360" s="193" t="s">
        <v>31</v>
      </c>
      <c r="P360" s="203">
        <v>0</v>
      </c>
      <c r="Q360" s="203">
        <f t="shared" si="174"/>
        <v>0</v>
      </c>
      <c r="R360" s="203" t="s">
        <v>30</v>
      </c>
      <c r="S360" s="266">
        <v>0</v>
      </c>
      <c r="T360" s="204">
        <f t="shared" si="175"/>
        <v>0</v>
      </c>
      <c r="U360" s="204">
        <f t="shared" si="176"/>
        <v>0</v>
      </c>
      <c r="V360" s="197"/>
      <c r="W360" s="205"/>
      <c r="X360" s="195"/>
      <c r="Y360" s="206"/>
      <c r="Z360" s="220"/>
      <c r="AA360" s="208"/>
      <c r="AB360" s="206"/>
      <c r="AC360" s="206"/>
      <c r="AD360" s="207">
        <f t="shared" si="177"/>
        <v>7</v>
      </c>
      <c r="AE360" s="209">
        <f t="shared" si="178"/>
        <v>-7</v>
      </c>
      <c r="AF360" s="197"/>
      <c r="AG360" s="197"/>
      <c r="AH360" s="202">
        <f t="shared" si="169"/>
        <v>0</v>
      </c>
      <c r="AI360" s="210" t="e">
        <f>#REF!+5</f>
        <v>#REF!</v>
      </c>
      <c r="AJ360" s="197"/>
      <c r="AK360" s="211">
        <f t="shared" si="170"/>
        <v>0</v>
      </c>
      <c r="AL360" s="210">
        <f t="shared" si="179"/>
        <v>90</v>
      </c>
      <c r="AM360" s="192"/>
      <c r="AN360" s="202"/>
      <c r="AO360" s="202"/>
      <c r="AP360" s="202"/>
      <c r="AQ360" s="193"/>
      <c r="AR360" s="193"/>
      <c r="AS360" s="193"/>
      <c r="AT360" s="193"/>
      <c r="AU360" s="193"/>
      <c r="AV360" s="193"/>
      <c r="AW360" s="193"/>
      <c r="AX360" s="193"/>
      <c r="AY360" s="193"/>
      <c r="AZ360" s="193"/>
      <c r="BA360" s="193"/>
      <c r="BB360" s="193"/>
    </row>
    <row r="361" spans="1:55" s="213" customFormat="1" ht="24" customHeight="1">
      <c r="A361" s="197"/>
      <c r="B361" s="198"/>
      <c r="C361" s="198"/>
      <c r="D361" s="193"/>
      <c r="E361" s="198"/>
      <c r="F361" s="214"/>
      <c r="G361" s="198"/>
      <c r="H361" s="200"/>
      <c r="I361" s="277"/>
      <c r="J361" s="197" t="s">
        <v>3</v>
      </c>
      <c r="K361" s="197" t="s">
        <v>30</v>
      </c>
      <c r="L361" s="201"/>
      <c r="M361" s="201"/>
      <c r="N361" s="202"/>
      <c r="O361" s="193" t="s">
        <v>35</v>
      </c>
      <c r="P361" s="203">
        <v>0</v>
      </c>
      <c r="Q361" s="203">
        <f t="shared" si="171"/>
        <v>0</v>
      </c>
      <c r="R361" s="204" t="s">
        <v>34</v>
      </c>
      <c r="S361" s="266">
        <v>0</v>
      </c>
      <c r="T361" s="204">
        <f t="shared" ref="T361:T374" si="180">M361*S361</f>
        <v>0</v>
      </c>
      <c r="U361" s="204">
        <f t="shared" ref="U361:U374" si="181">P361-S361</f>
        <v>0</v>
      </c>
      <c r="V361" s="197"/>
      <c r="W361" s="205"/>
      <c r="X361" s="192"/>
      <c r="Y361" s="207"/>
      <c r="Z361" s="206"/>
      <c r="AA361" s="208"/>
      <c r="AB361" s="207"/>
      <c r="AC361" s="206"/>
      <c r="AD361" s="207">
        <f t="shared" si="172"/>
        <v>7</v>
      </c>
      <c r="AE361" s="209">
        <f t="shared" si="173"/>
        <v>-7</v>
      </c>
      <c r="AF361" s="197"/>
      <c r="AG361" s="197"/>
      <c r="AH361" s="202">
        <f t="shared" si="169"/>
        <v>0</v>
      </c>
      <c r="AI361" s="210" t="e">
        <f>#REF!+5</f>
        <v>#REF!</v>
      </c>
      <c r="AJ361" s="197"/>
      <c r="AK361" s="211">
        <f t="shared" si="170"/>
        <v>0</v>
      </c>
      <c r="AL361" s="210">
        <f t="shared" ref="AL361:AL367" si="182">Y361+60</f>
        <v>60</v>
      </c>
      <c r="AM361" s="197"/>
      <c r="AN361" s="202"/>
      <c r="AO361" s="202"/>
      <c r="AP361" s="202"/>
      <c r="AQ361" s="193"/>
      <c r="AR361" s="193"/>
      <c r="AS361" s="193"/>
      <c r="AT361" s="193"/>
      <c r="AU361" s="193"/>
      <c r="AV361" s="193"/>
      <c r="AW361" s="193"/>
      <c r="AX361" s="193"/>
      <c r="AY361" s="193"/>
      <c r="AZ361" s="193"/>
      <c r="BA361" s="193"/>
      <c r="BB361" s="193"/>
    </row>
    <row r="362" spans="1:55" s="213" customFormat="1" ht="20.100000000000001" customHeight="1">
      <c r="A362" s="197"/>
      <c r="B362" s="198"/>
      <c r="C362" s="198"/>
      <c r="D362" s="193"/>
      <c r="E362" s="253"/>
      <c r="F362" s="253"/>
      <c r="G362" s="253"/>
      <c r="H362" s="200"/>
      <c r="I362" s="215"/>
      <c r="J362" s="197" t="s">
        <v>3</v>
      </c>
      <c r="K362" s="197" t="s">
        <v>30</v>
      </c>
      <c r="L362" s="201"/>
      <c r="M362" s="230"/>
      <c r="N362" s="202"/>
      <c r="O362" s="193" t="s">
        <v>31</v>
      </c>
      <c r="P362" s="203">
        <v>0</v>
      </c>
      <c r="Q362" s="203">
        <f t="shared" si="171"/>
        <v>0</v>
      </c>
      <c r="R362" s="204" t="s">
        <v>30</v>
      </c>
      <c r="S362" s="266">
        <v>0</v>
      </c>
      <c r="T362" s="204">
        <f t="shared" si="180"/>
        <v>0</v>
      </c>
      <c r="U362" s="204">
        <f t="shared" si="181"/>
        <v>0</v>
      </c>
      <c r="V362" s="197"/>
      <c r="W362" s="205"/>
      <c r="X362" s="192"/>
      <c r="Y362" s="207"/>
      <c r="Z362" s="206"/>
      <c r="AA362" s="208"/>
      <c r="AB362" s="207"/>
      <c r="AC362" s="206"/>
      <c r="AD362" s="207">
        <f t="shared" si="172"/>
        <v>7</v>
      </c>
      <c r="AE362" s="209">
        <f t="shared" si="173"/>
        <v>-7</v>
      </c>
      <c r="AF362" s="197"/>
      <c r="AG362" s="197"/>
      <c r="AH362" s="202">
        <f t="shared" si="169"/>
        <v>0</v>
      </c>
      <c r="AI362" s="210" t="e">
        <f>#REF!+5</f>
        <v>#REF!</v>
      </c>
      <c r="AJ362" s="197"/>
      <c r="AK362" s="211">
        <f t="shared" si="170"/>
        <v>0</v>
      </c>
      <c r="AL362" s="210">
        <f t="shared" si="182"/>
        <v>60</v>
      </c>
      <c r="AM362" s="197"/>
      <c r="AN362" s="202"/>
      <c r="AO362" s="195"/>
      <c r="AP362" s="195"/>
      <c r="AQ362" s="193"/>
      <c r="AR362" s="193"/>
      <c r="AS362" s="193"/>
      <c r="AT362" s="193"/>
      <c r="AU362" s="193"/>
      <c r="AV362" s="193"/>
      <c r="AW362" s="193"/>
      <c r="AX362" s="193"/>
      <c r="AY362" s="193"/>
      <c r="AZ362" s="193"/>
      <c r="BA362" s="193"/>
      <c r="BB362" s="193"/>
      <c r="BC362" s="373"/>
    </row>
    <row r="363" spans="1:55" s="213" customFormat="1" ht="20.100000000000001" customHeight="1">
      <c r="A363" s="197"/>
      <c r="B363" s="198"/>
      <c r="C363" s="198"/>
      <c r="D363" s="193"/>
      <c r="E363" s="253"/>
      <c r="F363" s="253"/>
      <c r="G363" s="253"/>
      <c r="H363" s="200"/>
      <c r="I363" s="215"/>
      <c r="J363" s="197"/>
      <c r="K363" s="197"/>
      <c r="L363" s="201"/>
      <c r="M363" s="230"/>
      <c r="N363" s="202"/>
      <c r="O363" s="193" t="s">
        <v>31</v>
      </c>
      <c r="P363" s="203">
        <v>0</v>
      </c>
      <c r="Q363" s="203">
        <f t="shared" ref="Q363:Q369" si="183">M363*P363</f>
        <v>0</v>
      </c>
      <c r="R363" s="204" t="s">
        <v>30</v>
      </c>
      <c r="S363" s="266">
        <v>0</v>
      </c>
      <c r="T363" s="204">
        <f t="shared" si="180"/>
        <v>0</v>
      </c>
      <c r="U363" s="204">
        <f t="shared" si="181"/>
        <v>0</v>
      </c>
      <c r="V363" s="197"/>
      <c r="W363" s="205"/>
      <c r="X363" s="192"/>
      <c r="Y363" s="207"/>
      <c r="Z363" s="206"/>
      <c r="AA363" s="208"/>
      <c r="AB363" s="207"/>
      <c r="AC363" s="206"/>
      <c r="AD363" s="207">
        <f t="shared" ref="AD363:AD371" si="184">Y363+7</f>
        <v>7</v>
      </c>
      <c r="AE363" s="209">
        <f t="shared" ref="AE363:AE369" si="185">AC363-AD363</f>
        <v>-7</v>
      </c>
      <c r="AF363" s="197"/>
      <c r="AG363" s="197"/>
      <c r="AH363" s="202">
        <f t="shared" si="169"/>
        <v>0</v>
      </c>
      <c r="AI363" s="210" t="e">
        <f>#REF!+5</f>
        <v>#REF!</v>
      </c>
      <c r="AJ363" s="197"/>
      <c r="AK363" s="211">
        <f t="shared" si="170"/>
        <v>0</v>
      </c>
      <c r="AL363" s="210">
        <f t="shared" si="182"/>
        <v>60</v>
      </c>
      <c r="AM363" s="197"/>
      <c r="AN363" s="202"/>
      <c r="AO363" s="195"/>
      <c r="AP363" s="195"/>
      <c r="AQ363" s="193"/>
      <c r="AR363" s="193"/>
      <c r="AS363" s="193"/>
      <c r="AT363" s="193"/>
      <c r="AU363" s="193"/>
      <c r="AV363" s="193"/>
      <c r="AW363" s="193"/>
      <c r="AX363" s="193"/>
      <c r="AY363" s="193"/>
      <c r="AZ363" s="193"/>
      <c r="BA363" s="193"/>
      <c r="BB363" s="193"/>
      <c r="BC363" s="373"/>
    </row>
    <row r="364" spans="1:55" s="213" customFormat="1" ht="20.100000000000001" customHeight="1">
      <c r="A364" s="197"/>
      <c r="B364" s="198"/>
      <c r="C364" s="198"/>
      <c r="D364" s="193"/>
      <c r="E364" s="253"/>
      <c r="F364" s="253"/>
      <c r="G364" s="253"/>
      <c r="H364" s="200"/>
      <c r="I364" s="215"/>
      <c r="J364" s="197"/>
      <c r="K364" s="197"/>
      <c r="L364" s="201"/>
      <c r="M364" s="230"/>
      <c r="N364" s="202"/>
      <c r="O364" s="193" t="s">
        <v>31</v>
      </c>
      <c r="P364" s="203">
        <v>0</v>
      </c>
      <c r="Q364" s="203">
        <f t="shared" si="183"/>
        <v>0</v>
      </c>
      <c r="R364" s="204" t="s">
        <v>30</v>
      </c>
      <c r="S364" s="266">
        <v>0</v>
      </c>
      <c r="T364" s="204">
        <f t="shared" si="180"/>
        <v>0</v>
      </c>
      <c r="U364" s="204">
        <f t="shared" si="181"/>
        <v>0</v>
      </c>
      <c r="V364" s="197"/>
      <c r="W364" s="205"/>
      <c r="X364" s="192"/>
      <c r="Y364" s="207"/>
      <c r="Z364" s="206"/>
      <c r="AA364" s="208"/>
      <c r="AB364" s="207"/>
      <c r="AC364" s="206"/>
      <c r="AD364" s="207">
        <f t="shared" si="184"/>
        <v>7</v>
      </c>
      <c r="AE364" s="209">
        <f t="shared" si="185"/>
        <v>-7</v>
      </c>
      <c r="AF364" s="197"/>
      <c r="AG364" s="197"/>
      <c r="AH364" s="202">
        <f t="shared" si="169"/>
        <v>0</v>
      </c>
      <c r="AI364" s="210" t="e">
        <f>#REF!+5</f>
        <v>#REF!</v>
      </c>
      <c r="AJ364" s="197"/>
      <c r="AK364" s="211">
        <f t="shared" si="170"/>
        <v>0</v>
      </c>
      <c r="AL364" s="210">
        <f t="shared" si="182"/>
        <v>60</v>
      </c>
      <c r="AM364" s="197"/>
      <c r="AN364" s="202"/>
      <c r="AO364" s="195"/>
      <c r="AP364" s="195"/>
      <c r="AQ364" s="193"/>
      <c r="AR364" s="193"/>
      <c r="AS364" s="193"/>
      <c r="AT364" s="193"/>
      <c r="AU364" s="193"/>
      <c r="AV364" s="193"/>
      <c r="AW364" s="193"/>
      <c r="AX364" s="193"/>
      <c r="AY364" s="193"/>
      <c r="AZ364" s="193"/>
      <c r="BA364" s="193"/>
      <c r="BB364" s="193"/>
      <c r="BC364" s="373"/>
    </row>
    <row r="365" spans="1:55" s="213" customFormat="1" ht="20.100000000000001" customHeight="1">
      <c r="A365" s="197"/>
      <c r="B365" s="198"/>
      <c r="C365" s="198"/>
      <c r="D365" s="193"/>
      <c r="E365" s="195"/>
      <c r="F365" s="281"/>
      <c r="G365" s="195"/>
      <c r="H365" s="200"/>
      <c r="I365" s="215"/>
      <c r="J365" s="197"/>
      <c r="K365" s="197"/>
      <c r="L365" s="201"/>
      <c r="M365" s="230"/>
      <c r="N365" s="202"/>
      <c r="O365" s="193" t="s">
        <v>31</v>
      </c>
      <c r="P365" s="203">
        <v>0</v>
      </c>
      <c r="Q365" s="203">
        <f t="shared" si="183"/>
        <v>0</v>
      </c>
      <c r="R365" s="204" t="s">
        <v>30</v>
      </c>
      <c r="S365" s="266">
        <v>0</v>
      </c>
      <c r="T365" s="204">
        <f t="shared" si="180"/>
        <v>0</v>
      </c>
      <c r="U365" s="204">
        <f t="shared" si="181"/>
        <v>0</v>
      </c>
      <c r="V365" s="197"/>
      <c r="W365" s="205"/>
      <c r="X365" s="192"/>
      <c r="Y365" s="207"/>
      <c r="Z365" s="206"/>
      <c r="AA365" s="208"/>
      <c r="AB365" s="207"/>
      <c r="AC365" s="206"/>
      <c r="AD365" s="207">
        <f t="shared" si="184"/>
        <v>7</v>
      </c>
      <c r="AE365" s="209">
        <f t="shared" si="185"/>
        <v>-7</v>
      </c>
      <c r="AF365" s="197"/>
      <c r="AG365" s="197"/>
      <c r="AH365" s="202">
        <f t="shared" si="169"/>
        <v>0</v>
      </c>
      <c r="AI365" s="210" t="e">
        <f>#REF!+5</f>
        <v>#REF!</v>
      </c>
      <c r="AJ365" s="197"/>
      <c r="AK365" s="211">
        <f t="shared" si="170"/>
        <v>0</v>
      </c>
      <c r="AL365" s="210">
        <f t="shared" si="182"/>
        <v>60</v>
      </c>
      <c r="AM365" s="197"/>
      <c r="AN365" s="202"/>
      <c r="AO365" s="195"/>
      <c r="AP365" s="195"/>
      <c r="AQ365" s="193"/>
      <c r="AR365" s="193"/>
      <c r="AS365" s="193"/>
      <c r="AT365" s="193"/>
      <c r="AU365" s="193"/>
      <c r="AV365" s="193"/>
      <c r="AW365" s="193"/>
      <c r="AX365" s="193"/>
      <c r="AY365" s="193"/>
      <c r="AZ365" s="193"/>
      <c r="BA365" s="193"/>
      <c r="BB365" s="193"/>
      <c r="BC365" s="373"/>
    </row>
    <row r="366" spans="1:55" s="213" customFormat="1" ht="20.100000000000001" customHeight="1">
      <c r="A366" s="197"/>
      <c r="B366" s="198"/>
      <c r="C366" s="198"/>
      <c r="D366" s="193"/>
      <c r="E366" s="195"/>
      <c r="F366" s="281"/>
      <c r="G366" s="195"/>
      <c r="H366" s="200"/>
      <c r="I366" s="215"/>
      <c r="J366" s="197"/>
      <c r="K366" s="197"/>
      <c r="L366" s="201"/>
      <c r="M366" s="230"/>
      <c r="N366" s="202"/>
      <c r="O366" s="193" t="s">
        <v>31</v>
      </c>
      <c r="P366" s="203">
        <v>0</v>
      </c>
      <c r="Q366" s="203">
        <f t="shared" si="183"/>
        <v>0</v>
      </c>
      <c r="R366" s="204" t="s">
        <v>30</v>
      </c>
      <c r="S366" s="266">
        <v>0</v>
      </c>
      <c r="T366" s="204">
        <f t="shared" si="180"/>
        <v>0</v>
      </c>
      <c r="U366" s="204">
        <f t="shared" si="181"/>
        <v>0</v>
      </c>
      <c r="V366" s="197"/>
      <c r="W366" s="205"/>
      <c r="X366" s="192"/>
      <c r="Y366" s="207"/>
      <c r="Z366" s="206"/>
      <c r="AA366" s="208"/>
      <c r="AB366" s="207"/>
      <c r="AC366" s="206"/>
      <c r="AD366" s="207">
        <f t="shared" si="184"/>
        <v>7</v>
      </c>
      <c r="AE366" s="209">
        <f t="shared" si="185"/>
        <v>-7</v>
      </c>
      <c r="AF366" s="197"/>
      <c r="AG366" s="197"/>
      <c r="AH366" s="202">
        <f t="shared" si="169"/>
        <v>0</v>
      </c>
      <c r="AI366" s="210" t="e">
        <f>#REF!+5</f>
        <v>#REF!</v>
      </c>
      <c r="AJ366" s="197"/>
      <c r="AK366" s="211">
        <f t="shared" si="170"/>
        <v>0</v>
      </c>
      <c r="AL366" s="210">
        <f t="shared" si="182"/>
        <v>60</v>
      </c>
      <c r="AM366" s="197"/>
      <c r="AN366" s="202"/>
      <c r="AO366" s="195"/>
      <c r="AP366" s="195"/>
      <c r="AQ366" s="193"/>
      <c r="AR366" s="193"/>
      <c r="AS366" s="193"/>
      <c r="AT366" s="193"/>
      <c r="AU366" s="193"/>
      <c r="AV366" s="193"/>
      <c r="AW366" s="193"/>
      <c r="AX366" s="193"/>
      <c r="AY366" s="193"/>
      <c r="AZ366" s="193"/>
      <c r="BA366" s="193"/>
      <c r="BB366" s="193"/>
      <c r="BC366" s="373"/>
    </row>
    <row r="367" spans="1:55" s="213" customFormat="1" ht="20.100000000000001" customHeight="1">
      <c r="A367" s="197"/>
      <c r="B367" s="198"/>
      <c r="C367" s="198"/>
      <c r="D367" s="193"/>
      <c r="E367" s="195"/>
      <c r="F367" s="281"/>
      <c r="G367" s="195"/>
      <c r="H367" s="200"/>
      <c r="I367" s="215"/>
      <c r="J367" s="197"/>
      <c r="K367" s="197"/>
      <c r="L367" s="201"/>
      <c r="M367" s="230"/>
      <c r="N367" s="202"/>
      <c r="O367" s="193" t="s">
        <v>31</v>
      </c>
      <c r="P367" s="203">
        <v>0</v>
      </c>
      <c r="Q367" s="203">
        <f t="shared" si="183"/>
        <v>0</v>
      </c>
      <c r="R367" s="204" t="s">
        <v>30</v>
      </c>
      <c r="S367" s="266">
        <v>0</v>
      </c>
      <c r="T367" s="204">
        <f t="shared" si="180"/>
        <v>0</v>
      </c>
      <c r="U367" s="204">
        <f t="shared" si="181"/>
        <v>0</v>
      </c>
      <c r="V367" s="197"/>
      <c r="W367" s="205"/>
      <c r="X367" s="192"/>
      <c r="Y367" s="207"/>
      <c r="Z367" s="206"/>
      <c r="AA367" s="208"/>
      <c r="AB367" s="207"/>
      <c r="AC367" s="206"/>
      <c r="AD367" s="207">
        <f t="shared" si="184"/>
        <v>7</v>
      </c>
      <c r="AE367" s="209">
        <f t="shared" si="185"/>
        <v>-7</v>
      </c>
      <c r="AF367" s="197"/>
      <c r="AG367" s="197"/>
      <c r="AH367" s="202">
        <f t="shared" si="169"/>
        <v>0</v>
      </c>
      <c r="AI367" s="210" t="e">
        <f>#REF!+5</f>
        <v>#REF!</v>
      </c>
      <c r="AJ367" s="197"/>
      <c r="AK367" s="211">
        <f t="shared" si="170"/>
        <v>0</v>
      </c>
      <c r="AL367" s="210">
        <f t="shared" si="182"/>
        <v>60</v>
      </c>
      <c r="AM367" s="197"/>
      <c r="AN367" s="202"/>
      <c r="AO367" s="195"/>
      <c r="AP367" s="195"/>
      <c r="AQ367" s="193"/>
      <c r="AR367" s="193"/>
      <c r="AS367" s="193"/>
      <c r="AT367" s="193"/>
      <c r="AU367" s="193"/>
      <c r="AV367" s="193"/>
      <c r="AW367" s="193"/>
      <c r="AX367" s="193"/>
      <c r="AY367" s="193"/>
      <c r="AZ367" s="193"/>
      <c r="BA367" s="193"/>
      <c r="BB367" s="193"/>
      <c r="BC367" s="373"/>
    </row>
    <row r="368" spans="1:55" s="213" customFormat="1" ht="24" customHeight="1">
      <c r="A368" s="260"/>
      <c r="B368" s="261"/>
      <c r="C368" s="261"/>
      <c r="D368" s="262"/>
      <c r="E368" s="261"/>
      <c r="F368" s="276"/>
      <c r="G368" s="261"/>
      <c r="H368" s="264"/>
      <c r="I368" s="264"/>
      <c r="J368" s="260"/>
      <c r="K368" s="260"/>
      <c r="L368" s="265"/>
      <c r="M368" s="265"/>
      <c r="N368" s="263"/>
      <c r="O368" s="262" t="s">
        <v>31</v>
      </c>
      <c r="P368" s="203">
        <v>0</v>
      </c>
      <c r="Q368" s="266">
        <f t="shared" si="183"/>
        <v>0</v>
      </c>
      <c r="R368" s="267" t="s">
        <v>30</v>
      </c>
      <c r="S368" s="266">
        <v>0</v>
      </c>
      <c r="T368" s="267">
        <f t="shared" si="180"/>
        <v>0</v>
      </c>
      <c r="U368" s="267">
        <f t="shared" si="181"/>
        <v>0</v>
      </c>
      <c r="V368" s="260"/>
      <c r="W368" s="268"/>
      <c r="X368" s="269"/>
      <c r="Y368" s="271"/>
      <c r="Z368" s="270"/>
      <c r="AA368" s="272"/>
      <c r="AB368" s="271"/>
      <c r="AC368" s="206"/>
      <c r="AD368" s="207">
        <f t="shared" si="184"/>
        <v>7</v>
      </c>
      <c r="AE368" s="273">
        <f t="shared" si="185"/>
        <v>-7</v>
      </c>
      <c r="AF368" s="260"/>
      <c r="AG368" s="260"/>
      <c r="AH368" s="263">
        <f t="shared" si="169"/>
        <v>0</v>
      </c>
      <c r="AI368" s="274" t="e">
        <f>#REF!+5</f>
        <v>#REF!</v>
      </c>
      <c r="AJ368" s="260"/>
      <c r="AK368" s="275">
        <f t="shared" si="170"/>
        <v>0</v>
      </c>
      <c r="AL368" s="274">
        <f>Y368+90</f>
        <v>90</v>
      </c>
      <c r="AM368" s="269"/>
      <c r="AN368" s="263"/>
      <c r="AO368" s="196"/>
      <c r="AP368" s="196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50"/>
    </row>
    <row r="369" spans="1:55" s="213" customFormat="1" ht="24" customHeight="1">
      <c r="A369" s="260"/>
      <c r="B369" s="261"/>
      <c r="C369" s="261"/>
      <c r="D369" s="262"/>
      <c r="E369" s="261"/>
      <c r="F369" s="276"/>
      <c r="G369" s="261"/>
      <c r="H369" s="264"/>
      <c r="I369" s="264"/>
      <c r="J369" s="260"/>
      <c r="K369" s="260"/>
      <c r="L369" s="265"/>
      <c r="M369" s="265"/>
      <c r="N369" s="263"/>
      <c r="O369" s="262" t="s">
        <v>31</v>
      </c>
      <c r="P369" s="203">
        <v>0</v>
      </c>
      <c r="Q369" s="266">
        <f t="shared" si="183"/>
        <v>0</v>
      </c>
      <c r="R369" s="267" t="s">
        <v>30</v>
      </c>
      <c r="S369" s="266">
        <v>0</v>
      </c>
      <c r="T369" s="267">
        <f t="shared" si="180"/>
        <v>0</v>
      </c>
      <c r="U369" s="267">
        <f t="shared" si="181"/>
        <v>0</v>
      </c>
      <c r="V369" s="260"/>
      <c r="W369" s="268"/>
      <c r="X369" s="269"/>
      <c r="Y369" s="271"/>
      <c r="Z369" s="270"/>
      <c r="AA369" s="272"/>
      <c r="AB369" s="271"/>
      <c r="AC369" s="206"/>
      <c r="AD369" s="207">
        <f t="shared" si="184"/>
        <v>7</v>
      </c>
      <c r="AE369" s="273">
        <f t="shared" si="185"/>
        <v>-7</v>
      </c>
      <c r="AF369" s="260"/>
      <c r="AG369" s="260"/>
      <c r="AH369" s="263">
        <f t="shared" si="169"/>
        <v>0</v>
      </c>
      <c r="AI369" s="274" t="e">
        <f>#REF!+5</f>
        <v>#REF!</v>
      </c>
      <c r="AJ369" s="260"/>
      <c r="AK369" s="275">
        <f t="shared" si="170"/>
        <v>0</v>
      </c>
      <c r="AL369" s="274">
        <f>Y369+90</f>
        <v>90</v>
      </c>
      <c r="AM369" s="269"/>
      <c r="AN369" s="263"/>
      <c r="AO369" s="196"/>
      <c r="AP369" s="196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50"/>
    </row>
    <row r="370" spans="1:55" s="213" customFormat="1" ht="24" customHeight="1">
      <c r="A370" s="260"/>
      <c r="B370" s="261"/>
      <c r="C370" s="261"/>
      <c r="D370" s="262"/>
      <c r="E370" s="261"/>
      <c r="F370" s="276"/>
      <c r="G370" s="261"/>
      <c r="H370" s="264"/>
      <c r="I370" s="264"/>
      <c r="J370" s="260"/>
      <c r="K370" s="260"/>
      <c r="L370" s="265"/>
      <c r="M370" s="265"/>
      <c r="N370" s="263"/>
      <c r="O370" s="262" t="s">
        <v>31</v>
      </c>
      <c r="P370" s="203">
        <v>0</v>
      </c>
      <c r="Q370" s="266">
        <f t="shared" si="171"/>
        <v>0</v>
      </c>
      <c r="R370" s="267" t="s">
        <v>30</v>
      </c>
      <c r="S370" s="266">
        <v>0</v>
      </c>
      <c r="T370" s="267">
        <f t="shared" si="180"/>
        <v>0</v>
      </c>
      <c r="U370" s="267">
        <f t="shared" si="181"/>
        <v>0</v>
      </c>
      <c r="V370" s="260"/>
      <c r="W370" s="268"/>
      <c r="X370" s="269"/>
      <c r="Y370" s="271"/>
      <c r="Z370" s="270"/>
      <c r="AA370" s="272"/>
      <c r="AB370" s="271"/>
      <c r="AC370" s="206"/>
      <c r="AD370" s="207">
        <f t="shared" si="184"/>
        <v>7</v>
      </c>
      <c r="AE370" s="273">
        <f t="shared" si="173"/>
        <v>-7</v>
      </c>
      <c r="AF370" s="260"/>
      <c r="AG370" s="260"/>
      <c r="AH370" s="263">
        <f t="shared" si="169"/>
        <v>0</v>
      </c>
      <c r="AI370" s="274" t="e">
        <f>#REF!+5</f>
        <v>#REF!</v>
      </c>
      <c r="AJ370" s="260"/>
      <c r="AK370" s="275">
        <f t="shared" si="170"/>
        <v>0</v>
      </c>
      <c r="AL370" s="274">
        <f>Y370+90</f>
        <v>90</v>
      </c>
      <c r="AM370" s="269"/>
      <c r="AN370" s="263"/>
      <c r="AO370" s="196"/>
      <c r="AP370" s="196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50"/>
    </row>
    <row r="371" spans="1:55" s="213" customFormat="1" ht="24" customHeight="1">
      <c r="A371" s="260"/>
      <c r="B371" s="261"/>
      <c r="C371" s="261"/>
      <c r="D371" s="262"/>
      <c r="E371" s="261"/>
      <c r="F371" s="276"/>
      <c r="G371" s="261"/>
      <c r="H371" s="264"/>
      <c r="I371" s="264"/>
      <c r="J371" s="260"/>
      <c r="K371" s="260"/>
      <c r="L371" s="265"/>
      <c r="M371" s="265"/>
      <c r="N371" s="263"/>
      <c r="O371" s="262" t="s">
        <v>31</v>
      </c>
      <c r="P371" s="203">
        <v>0</v>
      </c>
      <c r="Q371" s="266">
        <f t="shared" si="171"/>
        <v>0</v>
      </c>
      <c r="R371" s="267" t="s">
        <v>30</v>
      </c>
      <c r="S371" s="266">
        <v>0</v>
      </c>
      <c r="T371" s="267">
        <f t="shared" si="180"/>
        <v>0</v>
      </c>
      <c r="U371" s="267">
        <f t="shared" si="181"/>
        <v>0</v>
      </c>
      <c r="V371" s="260"/>
      <c r="W371" s="268"/>
      <c r="X371" s="269"/>
      <c r="Y371" s="271"/>
      <c r="Z371" s="270"/>
      <c r="AA371" s="272"/>
      <c r="AB371" s="271"/>
      <c r="AC371" s="206"/>
      <c r="AD371" s="207">
        <f t="shared" si="184"/>
        <v>7</v>
      </c>
      <c r="AE371" s="273">
        <f t="shared" si="173"/>
        <v>-7</v>
      </c>
      <c r="AF371" s="260"/>
      <c r="AG371" s="260"/>
      <c r="AH371" s="263">
        <f t="shared" si="169"/>
        <v>0</v>
      </c>
      <c r="AI371" s="274" t="e">
        <f>#REF!+5</f>
        <v>#REF!</v>
      </c>
      <c r="AJ371" s="260"/>
      <c r="AK371" s="275">
        <f t="shared" si="170"/>
        <v>0</v>
      </c>
      <c r="AL371" s="274">
        <f>Y371+90</f>
        <v>90</v>
      </c>
      <c r="AM371" s="269"/>
      <c r="AN371" s="263"/>
      <c r="AO371" s="196"/>
      <c r="AP371" s="196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50"/>
    </row>
    <row r="372" spans="1:55" s="213" customFormat="1" ht="24" customHeight="1">
      <c r="A372" s="260"/>
      <c r="B372" s="261"/>
      <c r="C372" s="261"/>
      <c r="D372" s="262"/>
      <c r="E372" s="261"/>
      <c r="F372" s="276"/>
      <c r="G372" s="261"/>
      <c r="H372" s="264"/>
      <c r="I372" s="264"/>
      <c r="J372" s="260"/>
      <c r="K372" s="260"/>
      <c r="L372" s="265"/>
      <c r="M372" s="265"/>
      <c r="N372" s="202"/>
      <c r="O372" s="193" t="s">
        <v>31</v>
      </c>
      <c r="P372" s="203">
        <v>0</v>
      </c>
      <c r="Q372" s="203">
        <f t="shared" si="171"/>
        <v>0</v>
      </c>
      <c r="R372" s="204" t="s">
        <v>30</v>
      </c>
      <c r="S372" s="266">
        <v>0</v>
      </c>
      <c r="T372" s="204">
        <f t="shared" si="180"/>
        <v>0</v>
      </c>
      <c r="U372" s="204">
        <f t="shared" si="181"/>
        <v>0</v>
      </c>
      <c r="V372" s="197"/>
      <c r="W372" s="268"/>
      <c r="X372" s="192"/>
      <c r="Y372" s="207"/>
      <c r="Z372" s="206"/>
      <c r="AA372" s="208"/>
      <c r="AB372" s="207"/>
      <c r="AC372" s="206"/>
      <c r="AD372" s="207">
        <f t="shared" si="172"/>
        <v>7</v>
      </c>
      <c r="AE372" s="209">
        <f t="shared" si="173"/>
        <v>-7</v>
      </c>
      <c r="AF372" s="260"/>
      <c r="AG372" s="260"/>
      <c r="AH372" s="202">
        <f t="shared" si="169"/>
        <v>0</v>
      </c>
      <c r="AI372" s="210" t="e">
        <f>#REF!+5</f>
        <v>#REF!</v>
      </c>
      <c r="AJ372" s="197"/>
      <c r="AK372" s="211">
        <f t="shared" si="170"/>
        <v>0</v>
      </c>
      <c r="AL372" s="210">
        <f t="shared" ref="AL372:AL388" si="186">Y372+60</f>
        <v>60</v>
      </c>
      <c r="AM372" s="197"/>
      <c r="AN372" s="263"/>
      <c r="AO372" s="196"/>
      <c r="AP372" s="196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</row>
    <row r="373" spans="1:55" s="213" customFormat="1" ht="24" customHeight="1">
      <c r="A373" s="260"/>
      <c r="B373" s="261"/>
      <c r="C373" s="261"/>
      <c r="D373" s="262"/>
      <c r="E373" s="261"/>
      <c r="F373" s="276"/>
      <c r="G373" s="261"/>
      <c r="H373" s="264"/>
      <c r="I373" s="264"/>
      <c r="J373" s="260"/>
      <c r="K373" s="260"/>
      <c r="L373" s="265"/>
      <c r="M373" s="265"/>
      <c r="N373" s="202"/>
      <c r="O373" s="193" t="s">
        <v>31</v>
      </c>
      <c r="P373" s="203">
        <v>0</v>
      </c>
      <c r="Q373" s="203">
        <f t="shared" si="171"/>
        <v>0</v>
      </c>
      <c r="R373" s="204" t="s">
        <v>30</v>
      </c>
      <c r="S373" s="266">
        <v>0</v>
      </c>
      <c r="T373" s="204">
        <f t="shared" si="180"/>
        <v>0</v>
      </c>
      <c r="U373" s="204">
        <f t="shared" si="181"/>
        <v>0</v>
      </c>
      <c r="V373" s="197"/>
      <c r="W373" s="268"/>
      <c r="X373" s="192"/>
      <c r="Y373" s="207"/>
      <c r="Z373" s="206"/>
      <c r="AA373" s="208"/>
      <c r="AB373" s="207"/>
      <c r="AC373" s="206"/>
      <c r="AD373" s="207">
        <f t="shared" si="172"/>
        <v>7</v>
      </c>
      <c r="AE373" s="209">
        <f t="shared" si="173"/>
        <v>-7</v>
      </c>
      <c r="AF373" s="260"/>
      <c r="AG373" s="260"/>
      <c r="AH373" s="202">
        <f t="shared" si="169"/>
        <v>0</v>
      </c>
      <c r="AI373" s="210" t="e">
        <f>#REF!+5</f>
        <v>#REF!</v>
      </c>
      <c r="AJ373" s="197"/>
      <c r="AK373" s="211">
        <f t="shared" si="170"/>
        <v>0</v>
      </c>
      <c r="AL373" s="210">
        <f t="shared" si="186"/>
        <v>60</v>
      </c>
      <c r="AM373" s="197"/>
      <c r="AN373" s="263"/>
      <c r="AO373" s="196"/>
      <c r="AP373" s="196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</row>
    <row r="374" spans="1:55" s="213" customFormat="1" ht="24" customHeight="1">
      <c r="A374" s="197"/>
      <c r="B374" s="198"/>
      <c r="C374" s="198"/>
      <c r="D374" s="193"/>
      <c r="E374" s="198"/>
      <c r="F374" s="214"/>
      <c r="G374" s="198"/>
      <c r="H374" s="200"/>
      <c r="I374" s="277"/>
      <c r="J374" s="197"/>
      <c r="K374" s="197"/>
      <c r="L374" s="201"/>
      <c r="M374" s="201"/>
      <c r="N374" s="202"/>
      <c r="O374" s="193" t="s">
        <v>31</v>
      </c>
      <c r="P374" s="203"/>
      <c r="Q374" s="203">
        <f t="shared" si="171"/>
        <v>0</v>
      </c>
      <c r="R374" s="204" t="s">
        <v>30</v>
      </c>
      <c r="S374" s="266">
        <v>0</v>
      </c>
      <c r="T374" s="204">
        <f t="shared" si="180"/>
        <v>0</v>
      </c>
      <c r="U374" s="204">
        <f t="shared" si="181"/>
        <v>0</v>
      </c>
      <c r="V374" s="197"/>
      <c r="W374" s="205"/>
      <c r="X374" s="192"/>
      <c r="Y374" s="207"/>
      <c r="Z374" s="206"/>
      <c r="AA374" s="208"/>
      <c r="AB374" s="207"/>
      <c r="AC374" s="206"/>
      <c r="AD374" s="207">
        <f t="shared" si="172"/>
        <v>7</v>
      </c>
      <c r="AE374" s="209">
        <f t="shared" si="173"/>
        <v>-7</v>
      </c>
      <c r="AF374" s="260"/>
      <c r="AG374" s="260"/>
      <c r="AH374" s="202">
        <f t="shared" si="169"/>
        <v>0</v>
      </c>
      <c r="AI374" s="210" t="e">
        <f>#REF!+5</f>
        <v>#REF!</v>
      </c>
      <c r="AJ374" s="197"/>
      <c r="AK374" s="211">
        <f t="shared" si="170"/>
        <v>0</v>
      </c>
      <c r="AL374" s="210">
        <f t="shared" si="186"/>
        <v>60</v>
      </c>
      <c r="AM374" s="197"/>
      <c r="AN374" s="202"/>
      <c r="AO374" s="202"/>
      <c r="AP374" s="202"/>
      <c r="AQ374" s="193"/>
      <c r="AR374" s="193"/>
      <c r="AS374" s="193"/>
      <c r="AT374" s="193"/>
      <c r="AU374" s="193"/>
      <c r="AV374" s="193"/>
      <c r="AW374" s="193"/>
      <c r="AX374" s="193"/>
      <c r="AY374" s="193"/>
      <c r="AZ374" s="193"/>
      <c r="BA374" s="193"/>
      <c r="BB374" s="193"/>
    </row>
    <row r="375" spans="1:55" s="213" customFormat="1" ht="24" customHeight="1">
      <c r="A375" s="197"/>
      <c r="B375" s="198"/>
      <c r="C375" s="198"/>
      <c r="D375" s="193"/>
      <c r="E375" s="198"/>
      <c r="F375" s="214"/>
      <c r="G375" s="198"/>
      <c r="H375" s="200"/>
      <c r="I375" s="277"/>
      <c r="J375" s="197"/>
      <c r="K375" s="197"/>
      <c r="L375" s="201"/>
      <c r="M375" s="201"/>
      <c r="N375" s="202"/>
      <c r="O375" s="193" t="s">
        <v>31</v>
      </c>
      <c r="P375" s="203"/>
      <c r="Q375" s="203">
        <f t="shared" si="171"/>
        <v>0</v>
      </c>
      <c r="R375" s="204" t="s">
        <v>30</v>
      </c>
      <c r="S375" s="266">
        <v>0</v>
      </c>
      <c r="T375" s="204">
        <f t="shared" ref="T375:T381" si="187">M375*S375</f>
        <v>0</v>
      </c>
      <c r="U375" s="204">
        <f t="shared" ref="U375:U381" si="188">P375-S375</f>
        <v>0</v>
      </c>
      <c r="V375" s="197"/>
      <c r="W375" s="205"/>
      <c r="X375" s="192"/>
      <c r="Y375" s="207"/>
      <c r="Z375" s="206"/>
      <c r="AA375" s="208"/>
      <c r="AB375" s="207"/>
      <c r="AC375" s="206"/>
      <c r="AD375" s="207">
        <f t="shared" ref="AD375:AD381" si="189">Y375+7</f>
        <v>7</v>
      </c>
      <c r="AE375" s="209">
        <f t="shared" ref="AE375:AE381" si="190">AC375-AD375</f>
        <v>-7</v>
      </c>
      <c r="AF375" s="260"/>
      <c r="AG375" s="260"/>
      <c r="AH375" s="202">
        <f t="shared" si="169"/>
        <v>0</v>
      </c>
      <c r="AI375" s="210" t="e">
        <f>#REF!+5</f>
        <v>#REF!</v>
      </c>
      <c r="AJ375" s="197"/>
      <c r="AK375" s="211">
        <f t="shared" si="170"/>
        <v>0</v>
      </c>
      <c r="AL375" s="210">
        <f t="shared" si="186"/>
        <v>60</v>
      </c>
      <c r="AM375" s="197"/>
      <c r="AN375" s="202"/>
      <c r="AO375" s="202"/>
      <c r="AP375" s="202"/>
      <c r="AQ375" s="193"/>
      <c r="AR375" s="193"/>
      <c r="AS375" s="193"/>
      <c r="AT375" s="193"/>
      <c r="AU375" s="193"/>
      <c r="AV375" s="193"/>
      <c r="AW375" s="193"/>
      <c r="AX375" s="193"/>
      <c r="AY375" s="193"/>
      <c r="AZ375" s="193"/>
      <c r="BA375" s="193"/>
      <c r="BB375" s="193"/>
    </row>
    <row r="376" spans="1:55" s="213" customFormat="1" ht="24" customHeight="1">
      <c r="A376" s="197"/>
      <c r="B376" s="198"/>
      <c r="C376" s="198"/>
      <c r="D376" s="193"/>
      <c r="E376" s="198"/>
      <c r="F376" s="214"/>
      <c r="G376" s="198"/>
      <c r="H376" s="200"/>
      <c r="I376" s="277"/>
      <c r="J376" s="197"/>
      <c r="K376" s="197"/>
      <c r="L376" s="201"/>
      <c r="M376" s="201"/>
      <c r="N376" s="202"/>
      <c r="O376" s="193" t="s">
        <v>31</v>
      </c>
      <c r="P376" s="203"/>
      <c r="Q376" s="203">
        <f t="shared" si="171"/>
        <v>0</v>
      </c>
      <c r="R376" s="204" t="s">
        <v>30</v>
      </c>
      <c r="S376" s="266">
        <v>0</v>
      </c>
      <c r="T376" s="204">
        <f t="shared" si="187"/>
        <v>0</v>
      </c>
      <c r="U376" s="204">
        <f t="shared" si="188"/>
        <v>0</v>
      </c>
      <c r="V376" s="197"/>
      <c r="W376" s="205"/>
      <c r="X376" s="192"/>
      <c r="Y376" s="207"/>
      <c r="Z376" s="206"/>
      <c r="AA376" s="208"/>
      <c r="AB376" s="207"/>
      <c r="AC376" s="206"/>
      <c r="AD376" s="207">
        <f t="shared" si="189"/>
        <v>7</v>
      </c>
      <c r="AE376" s="209">
        <f t="shared" si="190"/>
        <v>-7</v>
      </c>
      <c r="AF376" s="260"/>
      <c r="AG376" s="260"/>
      <c r="AH376" s="202">
        <f t="shared" si="169"/>
        <v>0</v>
      </c>
      <c r="AI376" s="210" t="e">
        <f>#REF!+5</f>
        <v>#REF!</v>
      </c>
      <c r="AJ376" s="197"/>
      <c r="AK376" s="211">
        <f t="shared" si="170"/>
        <v>0</v>
      </c>
      <c r="AL376" s="210">
        <f t="shared" si="186"/>
        <v>60</v>
      </c>
      <c r="AM376" s="197"/>
      <c r="AN376" s="202"/>
      <c r="AO376" s="202"/>
      <c r="AP376" s="202"/>
      <c r="AQ376" s="193"/>
      <c r="AR376" s="193"/>
      <c r="AS376" s="193"/>
      <c r="AT376" s="193"/>
      <c r="AU376" s="193"/>
      <c r="AV376" s="193"/>
      <c r="AW376" s="193"/>
      <c r="AX376" s="193"/>
      <c r="AY376" s="193"/>
      <c r="AZ376" s="193"/>
      <c r="BA376" s="193"/>
      <c r="BB376" s="193"/>
    </row>
    <row r="377" spans="1:55" s="213" customFormat="1" ht="24" customHeight="1">
      <c r="A377" s="197"/>
      <c r="B377" s="198"/>
      <c r="C377" s="198"/>
      <c r="D377" s="193"/>
      <c r="E377" s="198"/>
      <c r="F377" s="214"/>
      <c r="G377" s="198"/>
      <c r="H377" s="200"/>
      <c r="I377" s="277"/>
      <c r="J377" s="197"/>
      <c r="K377" s="197"/>
      <c r="L377" s="201"/>
      <c r="M377" s="201"/>
      <c r="N377" s="202"/>
      <c r="O377" s="193" t="s">
        <v>31</v>
      </c>
      <c r="P377" s="203"/>
      <c r="Q377" s="203">
        <f t="shared" si="171"/>
        <v>0</v>
      </c>
      <c r="R377" s="204" t="s">
        <v>30</v>
      </c>
      <c r="S377" s="266">
        <v>0</v>
      </c>
      <c r="T377" s="204">
        <f t="shared" si="187"/>
        <v>0</v>
      </c>
      <c r="U377" s="204">
        <f t="shared" si="188"/>
        <v>0</v>
      </c>
      <c r="V377" s="197"/>
      <c r="W377" s="205"/>
      <c r="X377" s="192"/>
      <c r="Y377" s="207"/>
      <c r="Z377" s="206"/>
      <c r="AA377" s="208"/>
      <c r="AB377" s="207"/>
      <c r="AC377" s="206"/>
      <c r="AD377" s="207">
        <f t="shared" si="189"/>
        <v>7</v>
      </c>
      <c r="AE377" s="209">
        <f t="shared" si="190"/>
        <v>-7</v>
      </c>
      <c r="AF377" s="260"/>
      <c r="AG377" s="260"/>
      <c r="AH377" s="202">
        <f t="shared" si="169"/>
        <v>0</v>
      </c>
      <c r="AI377" s="210" t="e">
        <f>#REF!+5</f>
        <v>#REF!</v>
      </c>
      <c r="AJ377" s="197"/>
      <c r="AK377" s="211">
        <f t="shared" si="170"/>
        <v>0</v>
      </c>
      <c r="AL377" s="210">
        <f t="shared" si="186"/>
        <v>60</v>
      </c>
      <c r="AM377" s="197"/>
      <c r="AN377" s="202"/>
      <c r="AO377" s="202"/>
      <c r="AP377" s="202"/>
      <c r="AQ377" s="193"/>
      <c r="AR377" s="193"/>
      <c r="AS377" s="193"/>
      <c r="AT377" s="193"/>
      <c r="AU377" s="193"/>
      <c r="AV377" s="193"/>
      <c r="AW377" s="193"/>
      <c r="AX377" s="193"/>
      <c r="AY377" s="193"/>
      <c r="AZ377" s="193"/>
      <c r="BA377" s="193"/>
      <c r="BB377" s="193"/>
    </row>
    <row r="378" spans="1:55" s="213" customFormat="1" ht="24" customHeight="1">
      <c r="A378" s="197"/>
      <c r="B378" s="198"/>
      <c r="C378" s="198"/>
      <c r="D378" s="193"/>
      <c r="E378" s="198"/>
      <c r="F378" s="214"/>
      <c r="G378" s="198"/>
      <c r="H378" s="200"/>
      <c r="I378" s="277"/>
      <c r="J378" s="197"/>
      <c r="K378" s="197"/>
      <c r="L378" s="201"/>
      <c r="M378" s="201"/>
      <c r="N378" s="202"/>
      <c r="O378" s="193" t="s">
        <v>31</v>
      </c>
      <c r="P378" s="203"/>
      <c r="Q378" s="203">
        <f t="shared" si="171"/>
        <v>0</v>
      </c>
      <c r="R378" s="204" t="s">
        <v>30</v>
      </c>
      <c r="S378" s="266">
        <v>0</v>
      </c>
      <c r="T378" s="204">
        <f t="shared" si="187"/>
        <v>0</v>
      </c>
      <c r="U378" s="204">
        <f t="shared" si="188"/>
        <v>0</v>
      </c>
      <c r="V378" s="197"/>
      <c r="W378" s="205"/>
      <c r="X378" s="192"/>
      <c r="Y378" s="207"/>
      <c r="Z378" s="206"/>
      <c r="AA378" s="208"/>
      <c r="AB378" s="207"/>
      <c r="AC378" s="206"/>
      <c r="AD378" s="207">
        <f t="shared" si="189"/>
        <v>7</v>
      </c>
      <c r="AE378" s="209">
        <f t="shared" si="190"/>
        <v>-7</v>
      </c>
      <c r="AF378" s="260"/>
      <c r="AG378" s="260"/>
      <c r="AH378" s="202">
        <f t="shared" si="169"/>
        <v>0</v>
      </c>
      <c r="AI378" s="210" t="e">
        <f>#REF!+5</f>
        <v>#REF!</v>
      </c>
      <c r="AJ378" s="197"/>
      <c r="AK378" s="211">
        <f t="shared" si="170"/>
        <v>0</v>
      </c>
      <c r="AL378" s="210">
        <f t="shared" si="186"/>
        <v>60</v>
      </c>
      <c r="AM378" s="197"/>
      <c r="AN378" s="202"/>
      <c r="AO378" s="202"/>
      <c r="AP378" s="202"/>
      <c r="AQ378" s="193"/>
      <c r="AR378" s="193"/>
      <c r="AS378" s="193"/>
      <c r="AT378" s="193"/>
      <c r="AU378" s="193"/>
      <c r="AV378" s="193"/>
      <c r="AW378" s="193"/>
      <c r="AX378" s="193"/>
      <c r="AY378" s="193"/>
      <c r="AZ378" s="193"/>
      <c r="BA378" s="193"/>
      <c r="BB378" s="193"/>
    </row>
    <row r="379" spans="1:55" s="213" customFormat="1" ht="24" customHeight="1">
      <c r="A379" s="197"/>
      <c r="B379" s="198"/>
      <c r="C379" s="198"/>
      <c r="D379" s="193"/>
      <c r="E379" s="198"/>
      <c r="F379" s="214"/>
      <c r="G379" s="198"/>
      <c r="H379" s="200"/>
      <c r="I379" s="277"/>
      <c r="J379" s="197"/>
      <c r="K379" s="197"/>
      <c r="L379" s="201"/>
      <c r="M379" s="201"/>
      <c r="N379" s="202"/>
      <c r="O379" s="193" t="s">
        <v>31</v>
      </c>
      <c r="P379" s="203"/>
      <c r="Q379" s="203">
        <f t="shared" si="171"/>
        <v>0</v>
      </c>
      <c r="R379" s="204" t="s">
        <v>30</v>
      </c>
      <c r="S379" s="266">
        <v>0</v>
      </c>
      <c r="T379" s="204">
        <f t="shared" si="187"/>
        <v>0</v>
      </c>
      <c r="U379" s="204">
        <f t="shared" si="188"/>
        <v>0</v>
      </c>
      <c r="V379" s="197"/>
      <c r="W379" s="205"/>
      <c r="X379" s="192"/>
      <c r="Y379" s="207"/>
      <c r="Z379" s="206"/>
      <c r="AA379" s="208"/>
      <c r="AB379" s="207"/>
      <c r="AC379" s="206"/>
      <c r="AD379" s="207">
        <f t="shared" si="189"/>
        <v>7</v>
      </c>
      <c r="AE379" s="209">
        <f t="shared" si="190"/>
        <v>-7</v>
      </c>
      <c r="AF379" s="260"/>
      <c r="AG379" s="260"/>
      <c r="AH379" s="202">
        <f t="shared" si="169"/>
        <v>0</v>
      </c>
      <c r="AI379" s="210" t="e">
        <f>#REF!+5</f>
        <v>#REF!</v>
      </c>
      <c r="AJ379" s="197"/>
      <c r="AK379" s="211">
        <f t="shared" si="170"/>
        <v>0</v>
      </c>
      <c r="AL379" s="210">
        <f t="shared" si="186"/>
        <v>60</v>
      </c>
      <c r="AM379" s="197"/>
      <c r="AN379" s="202"/>
      <c r="AO379" s="202"/>
      <c r="AP379" s="202"/>
      <c r="AQ379" s="193"/>
      <c r="AR379" s="193"/>
      <c r="AS379" s="193"/>
      <c r="AT379" s="193"/>
      <c r="AU379" s="193"/>
      <c r="AV379" s="193"/>
      <c r="AW379" s="193"/>
      <c r="AX379" s="193"/>
      <c r="AY379" s="193"/>
      <c r="AZ379" s="193"/>
      <c r="BA379" s="193"/>
      <c r="BB379" s="193"/>
    </row>
    <row r="380" spans="1:55" s="213" customFormat="1" ht="24" customHeight="1">
      <c r="A380" s="197"/>
      <c r="B380" s="198"/>
      <c r="C380" s="198"/>
      <c r="D380" s="193"/>
      <c r="E380" s="198"/>
      <c r="F380" s="214"/>
      <c r="G380" s="198"/>
      <c r="H380" s="200"/>
      <c r="I380" s="277"/>
      <c r="J380" s="197"/>
      <c r="K380" s="197"/>
      <c r="L380" s="201"/>
      <c r="M380" s="201"/>
      <c r="N380" s="202"/>
      <c r="O380" s="193" t="s">
        <v>31</v>
      </c>
      <c r="P380" s="203"/>
      <c r="Q380" s="203">
        <f t="shared" si="171"/>
        <v>0</v>
      </c>
      <c r="R380" s="204" t="s">
        <v>30</v>
      </c>
      <c r="S380" s="266">
        <v>0</v>
      </c>
      <c r="T380" s="204">
        <f t="shared" si="187"/>
        <v>0</v>
      </c>
      <c r="U380" s="204">
        <f t="shared" si="188"/>
        <v>0</v>
      </c>
      <c r="V380" s="197"/>
      <c r="W380" s="205"/>
      <c r="X380" s="192"/>
      <c r="Y380" s="207"/>
      <c r="Z380" s="206"/>
      <c r="AA380" s="208"/>
      <c r="AB380" s="207"/>
      <c r="AC380" s="206"/>
      <c r="AD380" s="207">
        <f t="shared" si="189"/>
        <v>7</v>
      </c>
      <c r="AE380" s="209">
        <f t="shared" si="190"/>
        <v>-7</v>
      </c>
      <c r="AF380" s="260"/>
      <c r="AG380" s="260"/>
      <c r="AH380" s="202">
        <f t="shared" si="169"/>
        <v>0</v>
      </c>
      <c r="AI380" s="210" t="e">
        <f>#REF!+5</f>
        <v>#REF!</v>
      </c>
      <c r="AJ380" s="197"/>
      <c r="AK380" s="211">
        <f t="shared" si="170"/>
        <v>0</v>
      </c>
      <c r="AL380" s="210">
        <f t="shared" si="186"/>
        <v>60</v>
      </c>
      <c r="AM380" s="197"/>
      <c r="AN380" s="202"/>
      <c r="AO380" s="202"/>
      <c r="AP380" s="202"/>
      <c r="AQ380" s="193"/>
      <c r="AR380" s="193"/>
      <c r="AS380" s="193"/>
      <c r="AT380" s="193"/>
      <c r="AU380" s="193"/>
      <c r="AV380" s="193"/>
      <c r="AW380" s="193"/>
      <c r="AX380" s="193"/>
      <c r="AY380" s="193"/>
      <c r="AZ380" s="193"/>
      <c r="BA380" s="193"/>
      <c r="BB380" s="193"/>
    </row>
    <row r="381" spans="1:55" s="213" customFormat="1" ht="24" customHeight="1">
      <c r="A381" s="197"/>
      <c r="B381" s="198"/>
      <c r="C381" s="198"/>
      <c r="D381" s="193"/>
      <c r="E381" s="198"/>
      <c r="F381" s="214"/>
      <c r="G381" s="198"/>
      <c r="H381" s="200"/>
      <c r="I381" s="277"/>
      <c r="J381" s="197"/>
      <c r="K381" s="197"/>
      <c r="L381" s="201"/>
      <c r="M381" s="201"/>
      <c r="N381" s="202"/>
      <c r="O381" s="193" t="s">
        <v>31</v>
      </c>
      <c r="P381" s="203"/>
      <c r="Q381" s="203">
        <f t="shared" si="171"/>
        <v>0</v>
      </c>
      <c r="R381" s="204" t="s">
        <v>30</v>
      </c>
      <c r="S381" s="266">
        <v>0</v>
      </c>
      <c r="T381" s="204">
        <f t="shared" si="187"/>
        <v>0</v>
      </c>
      <c r="U381" s="204">
        <f t="shared" si="188"/>
        <v>0</v>
      </c>
      <c r="V381" s="197"/>
      <c r="W381" s="205"/>
      <c r="X381" s="192"/>
      <c r="Y381" s="207"/>
      <c r="Z381" s="206"/>
      <c r="AA381" s="208"/>
      <c r="AB381" s="207"/>
      <c r="AC381" s="206"/>
      <c r="AD381" s="207">
        <f t="shared" si="189"/>
        <v>7</v>
      </c>
      <c r="AE381" s="209">
        <f t="shared" si="190"/>
        <v>-7</v>
      </c>
      <c r="AF381" s="260"/>
      <c r="AG381" s="260"/>
      <c r="AH381" s="202">
        <f t="shared" si="169"/>
        <v>0</v>
      </c>
      <c r="AI381" s="210" t="e">
        <f>#REF!+5</f>
        <v>#REF!</v>
      </c>
      <c r="AJ381" s="197"/>
      <c r="AK381" s="211">
        <f t="shared" si="170"/>
        <v>0</v>
      </c>
      <c r="AL381" s="210">
        <f t="shared" si="186"/>
        <v>60</v>
      </c>
      <c r="AM381" s="197"/>
      <c r="AN381" s="202"/>
      <c r="AO381" s="202"/>
      <c r="AP381" s="202"/>
      <c r="AQ381" s="193"/>
      <c r="AR381" s="193"/>
      <c r="AS381" s="193"/>
      <c r="AT381" s="193"/>
      <c r="AU381" s="193"/>
      <c r="AV381" s="193"/>
      <c r="AW381" s="193"/>
      <c r="AX381" s="193"/>
      <c r="AY381" s="193"/>
      <c r="AZ381" s="193"/>
      <c r="BA381" s="193"/>
      <c r="BB381" s="193"/>
    </row>
    <row r="382" spans="1:55" s="213" customFormat="1" ht="24" customHeight="1">
      <c r="A382" s="197"/>
      <c r="B382" s="198"/>
      <c r="C382" s="198"/>
      <c r="D382" s="193"/>
      <c r="E382" s="198"/>
      <c r="F382" s="214"/>
      <c r="G382" s="198"/>
      <c r="H382" s="200"/>
      <c r="I382" s="200"/>
      <c r="J382" s="197"/>
      <c r="K382" s="197"/>
      <c r="L382" s="201"/>
      <c r="M382" s="201"/>
      <c r="N382" s="202"/>
      <c r="O382" s="193" t="s">
        <v>31</v>
      </c>
      <c r="P382" s="203"/>
      <c r="Q382" s="203">
        <f t="shared" si="171"/>
        <v>0</v>
      </c>
      <c r="R382" s="204" t="s">
        <v>30</v>
      </c>
      <c r="S382" s="266">
        <v>0</v>
      </c>
      <c r="T382" s="204">
        <f t="shared" ref="T382:T399" si="191">M382*S382</f>
        <v>0</v>
      </c>
      <c r="U382" s="204">
        <f t="shared" ref="U382:U399" si="192">P382-S382</f>
        <v>0</v>
      </c>
      <c r="V382" s="197"/>
      <c r="W382" s="205"/>
      <c r="X382" s="192"/>
      <c r="Y382" s="207"/>
      <c r="Z382" s="206"/>
      <c r="AA382" s="208"/>
      <c r="AB382" s="207"/>
      <c r="AC382" s="206"/>
      <c r="AD382" s="207">
        <f t="shared" si="172"/>
        <v>7</v>
      </c>
      <c r="AE382" s="209">
        <f t="shared" si="173"/>
        <v>-7</v>
      </c>
      <c r="AF382" s="260"/>
      <c r="AG382" s="260"/>
      <c r="AH382" s="202">
        <f t="shared" si="169"/>
        <v>0</v>
      </c>
      <c r="AI382" s="210" t="e">
        <f>#REF!+5</f>
        <v>#REF!</v>
      </c>
      <c r="AJ382" s="197"/>
      <c r="AK382" s="211">
        <f t="shared" si="170"/>
        <v>0</v>
      </c>
      <c r="AL382" s="210">
        <f t="shared" si="186"/>
        <v>60</v>
      </c>
      <c r="AM382" s="197"/>
      <c r="AN382" s="202"/>
      <c r="AO382" s="202"/>
      <c r="AP382" s="202"/>
      <c r="AQ382" s="193"/>
      <c r="AR382" s="193"/>
      <c r="AS382" s="193"/>
      <c r="AT382" s="193"/>
      <c r="AU382" s="193"/>
      <c r="AV382" s="193"/>
      <c r="AW382" s="193"/>
      <c r="AX382" s="193"/>
      <c r="AY382" s="193"/>
      <c r="AZ382" s="193"/>
      <c r="BA382" s="193"/>
      <c r="BB382" s="193"/>
    </row>
    <row r="383" spans="1:55" s="213" customFormat="1" ht="24" customHeight="1">
      <c r="A383" s="197"/>
      <c r="B383" s="198"/>
      <c r="C383" s="198"/>
      <c r="D383" s="193"/>
      <c r="E383" s="198"/>
      <c r="F383" s="214"/>
      <c r="G383" s="198"/>
      <c r="H383" s="200"/>
      <c r="I383" s="200"/>
      <c r="J383" s="197"/>
      <c r="K383" s="197"/>
      <c r="L383" s="201"/>
      <c r="M383" s="201"/>
      <c r="N383" s="202"/>
      <c r="O383" s="193" t="s">
        <v>31</v>
      </c>
      <c r="P383" s="203"/>
      <c r="Q383" s="203">
        <f t="shared" si="171"/>
        <v>0</v>
      </c>
      <c r="R383" s="204" t="s">
        <v>30</v>
      </c>
      <c r="S383" s="266">
        <v>0</v>
      </c>
      <c r="T383" s="204">
        <f t="shared" si="191"/>
        <v>0</v>
      </c>
      <c r="U383" s="204">
        <f t="shared" si="192"/>
        <v>0</v>
      </c>
      <c r="V383" s="197"/>
      <c r="W383" s="205"/>
      <c r="X383" s="192"/>
      <c r="Y383" s="207"/>
      <c r="Z383" s="206"/>
      <c r="AA383" s="208"/>
      <c r="AB383" s="207"/>
      <c r="AC383" s="206"/>
      <c r="AD383" s="207">
        <f t="shared" ref="AD383:AD388" si="193">Y383+7</f>
        <v>7</v>
      </c>
      <c r="AE383" s="209">
        <f>AC383-AD383</f>
        <v>-7</v>
      </c>
      <c r="AF383" s="260"/>
      <c r="AG383" s="260"/>
      <c r="AH383" s="202">
        <f t="shared" si="169"/>
        <v>0</v>
      </c>
      <c r="AI383" s="210" t="e">
        <f>#REF!+5</f>
        <v>#REF!</v>
      </c>
      <c r="AJ383" s="197"/>
      <c r="AK383" s="211">
        <f t="shared" si="170"/>
        <v>0</v>
      </c>
      <c r="AL383" s="210">
        <f t="shared" si="186"/>
        <v>60</v>
      </c>
      <c r="AM383" s="197"/>
      <c r="AN383" s="202"/>
      <c r="AO383" s="202"/>
      <c r="AP383" s="202"/>
      <c r="AQ383" s="193"/>
      <c r="AR383" s="193"/>
      <c r="AS383" s="193"/>
      <c r="AT383" s="193"/>
      <c r="AU383" s="193"/>
      <c r="AV383" s="193"/>
      <c r="AW383" s="193"/>
      <c r="AX383" s="193"/>
      <c r="AY383" s="193"/>
      <c r="AZ383" s="193"/>
      <c r="BA383" s="193"/>
      <c r="BB383" s="193"/>
    </row>
    <row r="384" spans="1:55" s="213" customFormat="1" ht="24" customHeight="1">
      <c r="A384" s="197"/>
      <c r="B384" s="198"/>
      <c r="C384" s="198"/>
      <c r="D384" s="193"/>
      <c r="E384" s="198"/>
      <c r="F384" s="214"/>
      <c r="G384" s="198"/>
      <c r="H384" s="200"/>
      <c r="I384" s="200"/>
      <c r="J384" s="197"/>
      <c r="K384" s="197"/>
      <c r="L384" s="201"/>
      <c r="M384" s="201"/>
      <c r="N384" s="202"/>
      <c r="O384" s="193" t="s">
        <v>31</v>
      </c>
      <c r="P384" s="203"/>
      <c r="Q384" s="203">
        <f t="shared" si="171"/>
        <v>0</v>
      </c>
      <c r="R384" s="204" t="s">
        <v>30</v>
      </c>
      <c r="S384" s="266">
        <v>0</v>
      </c>
      <c r="T384" s="204">
        <f t="shared" si="191"/>
        <v>0</v>
      </c>
      <c r="U384" s="204">
        <f t="shared" si="192"/>
        <v>0</v>
      </c>
      <c r="V384" s="197"/>
      <c r="W384" s="205"/>
      <c r="X384" s="192"/>
      <c r="Y384" s="207"/>
      <c r="Z384" s="206"/>
      <c r="AA384" s="208"/>
      <c r="AB384" s="207"/>
      <c r="AC384" s="206"/>
      <c r="AD384" s="207">
        <f t="shared" si="193"/>
        <v>7</v>
      </c>
      <c r="AE384" s="209">
        <f>AC384-AD384</f>
        <v>-7</v>
      </c>
      <c r="AF384" s="260"/>
      <c r="AG384" s="260"/>
      <c r="AH384" s="202">
        <f t="shared" si="169"/>
        <v>0</v>
      </c>
      <c r="AI384" s="210" t="e">
        <f>#REF!+5</f>
        <v>#REF!</v>
      </c>
      <c r="AJ384" s="197"/>
      <c r="AK384" s="211">
        <f t="shared" si="170"/>
        <v>0</v>
      </c>
      <c r="AL384" s="210">
        <f t="shared" si="186"/>
        <v>60</v>
      </c>
      <c r="AM384" s="197"/>
      <c r="AN384" s="202"/>
      <c r="AO384" s="202"/>
      <c r="AP384" s="202"/>
      <c r="AQ384" s="193"/>
      <c r="AR384" s="193"/>
      <c r="AS384" s="193"/>
      <c r="AT384" s="193"/>
      <c r="AU384" s="193"/>
      <c r="AV384" s="193"/>
      <c r="AW384" s="193"/>
      <c r="AX384" s="193"/>
      <c r="AY384" s="193"/>
      <c r="AZ384" s="193"/>
      <c r="BA384" s="193"/>
      <c r="BB384" s="193"/>
    </row>
    <row r="385" spans="1:55" s="213" customFormat="1" ht="24" customHeight="1">
      <c r="A385" s="197"/>
      <c r="B385" s="198"/>
      <c r="C385" s="198"/>
      <c r="D385" s="193"/>
      <c r="E385" s="198"/>
      <c r="F385" s="214"/>
      <c r="G385" s="198"/>
      <c r="H385" s="200"/>
      <c r="I385" s="277"/>
      <c r="J385" s="197"/>
      <c r="K385" s="197"/>
      <c r="L385" s="201"/>
      <c r="M385" s="201"/>
      <c r="N385" s="202"/>
      <c r="O385" s="193" t="s">
        <v>31</v>
      </c>
      <c r="P385" s="203"/>
      <c r="Q385" s="203">
        <f t="shared" si="171"/>
        <v>0</v>
      </c>
      <c r="R385" s="204" t="s">
        <v>30</v>
      </c>
      <c r="S385" s="266">
        <v>0</v>
      </c>
      <c r="T385" s="204">
        <f t="shared" si="191"/>
        <v>0</v>
      </c>
      <c r="U385" s="204">
        <f t="shared" si="192"/>
        <v>0</v>
      </c>
      <c r="V385" s="197"/>
      <c r="W385" s="205"/>
      <c r="X385" s="192"/>
      <c r="Y385" s="207"/>
      <c r="Z385" s="206"/>
      <c r="AA385" s="208"/>
      <c r="AB385" s="207"/>
      <c r="AC385" s="206"/>
      <c r="AD385" s="207">
        <f t="shared" si="193"/>
        <v>7</v>
      </c>
      <c r="AE385" s="209">
        <f t="shared" si="173"/>
        <v>-7</v>
      </c>
      <c r="AF385" s="260"/>
      <c r="AG385" s="260"/>
      <c r="AH385" s="202">
        <f t="shared" si="169"/>
        <v>0</v>
      </c>
      <c r="AI385" s="210" t="e">
        <f>#REF!+5</f>
        <v>#REF!</v>
      </c>
      <c r="AJ385" s="197"/>
      <c r="AK385" s="211">
        <f t="shared" si="170"/>
        <v>0</v>
      </c>
      <c r="AL385" s="210">
        <f t="shared" si="186"/>
        <v>60</v>
      </c>
      <c r="AM385" s="197"/>
      <c r="AN385" s="202"/>
      <c r="AO385" s="202"/>
      <c r="AP385" s="202"/>
      <c r="AQ385" s="193"/>
      <c r="AR385" s="193"/>
      <c r="AS385" s="193"/>
      <c r="AT385" s="193"/>
      <c r="AU385" s="193"/>
      <c r="AV385" s="193"/>
      <c r="AW385" s="193"/>
      <c r="AX385" s="193"/>
      <c r="AY385" s="193"/>
      <c r="AZ385" s="193"/>
      <c r="BA385" s="193"/>
      <c r="BB385" s="193"/>
    </row>
    <row r="386" spans="1:55" s="213" customFormat="1" ht="24" customHeight="1">
      <c r="A386" s="197"/>
      <c r="B386" s="198"/>
      <c r="C386" s="198"/>
      <c r="D386" s="193"/>
      <c r="E386" s="198"/>
      <c r="F386" s="214"/>
      <c r="G386" s="198"/>
      <c r="H386" s="200"/>
      <c r="I386" s="277"/>
      <c r="J386" s="197"/>
      <c r="K386" s="197"/>
      <c r="L386" s="201"/>
      <c r="M386" s="201"/>
      <c r="N386" s="202"/>
      <c r="O386" s="193" t="s">
        <v>31</v>
      </c>
      <c r="P386" s="203"/>
      <c r="Q386" s="203">
        <f>M386*P386</f>
        <v>0</v>
      </c>
      <c r="R386" s="204" t="s">
        <v>30</v>
      </c>
      <c r="S386" s="266">
        <v>0</v>
      </c>
      <c r="T386" s="204">
        <f t="shared" si="191"/>
        <v>0</v>
      </c>
      <c r="U386" s="204">
        <f t="shared" si="192"/>
        <v>0</v>
      </c>
      <c r="V386" s="197"/>
      <c r="W386" s="205"/>
      <c r="X386" s="192"/>
      <c r="Y386" s="207"/>
      <c r="Z386" s="206"/>
      <c r="AA386" s="208"/>
      <c r="AB386" s="207"/>
      <c r="AC386" s="206"/>
      <c r="AD386" s="207">
        <f t="shared" si="193"/>
        <v>7</v>
      </c>
      <c r="AE386" s="209">
        <f t="shared" si="173"/>
        <v>-7</v>
      </c>
      <c r="AF386" s="260"/>
      <c r="AG386" s="260"/>
      <c r="AH386" s="202">
        <f t="shared" si="169"/>
        <v>0</v>
      </c>
      <c r="AI386" s="210" t="e">
        <f>#REF!+5</f>
        <v>#REF!</v>
      </c>
      <c r="AJ386" s="197"/>
      <c r="AK386" s="211">
        <f t="shared" si="170"/>
        <v>0</v>
      </c>
      <c r="AL386" s="210">
        <f t="shared" si="186"/>
        <v>60</v>
      </c>
      <c r="AM386" s="197"/>
      <c r="AN386" s="202"/>
      <c r="AO386" s="202"/>
      <c r="AP386" s="202"/>
      <c r="AQ386" s="193"/>
      <c r="AR386" s="193"/>
      <c r="AS386" s="193"/>
      <c r="AT386" s="193"/>
      <c r="AU386" s="193"/>
      <c r="AV386" s="193"/>
      <c r="AW386" s="193"/>
      <c r="AX386" s="193"/>
      <c r="AY386" s="193"/>
      <c r="AZ386" s="193"/>
      <c r="BA386" s="193"/>
      <c r="BB386" s="193"/>
    </row>
    <row r="387" spans="1:55" s="213" customFormat="1" ht="24" customHeight="1">
      <c r="A387" s="197"/>
      <c r="B387" s="198"/>
      <c r="C387" s="198"/>
      <c r="D387" s="193"/>
      <c r="E387" s="198"/>
      <c r="F387" s="214"/>
      <c r="G387" s="198"/>
      <c r="H387" s="200"/>
      <c r="I387" s="277"/>
      <c r="J387" s="197"/>
      <c r="K387" s="197"/>
      <c r="L387" s="201"/>
      <c r="M387" s="201"/>
      <c r="N387" s="202"/>
      <c r="O387" s="193" t="s">
        <v>31</v>
      </c>
      <c r="P387" s="203"/>
      <c r="Q387" s="203">
        <f>M387*P387</f>
        <v>0</v>
      </c>
      <c r="R387" s="204" t="s">
        <v>30</v>
      </c>
      <c r="S387" s="266">
        <v>0</v>
      </c>
      <c r="T387" s="204">
        <f t="shared" si="191"/>
        <v>0</v>
      </c>
      <c r="U387" s="204">
        <f t="shared" si="192"/>
        <v>0</v>
      </c>
      <c r="V387" s="197"/>
      <c r="W387" s="205"/>
      <c r="X387" s="192"/>
      <c r="Y387" s="207"/>
      <c r="Z387" s="206"/>
      <c r="AA387" s="208"/>
      <c r="AB387" s="207"/>
      <c r="AC387" s="206"/>
      <c r="AD387" s="207">
        <f t="shared" si="193"/>
        <v>7</v>
      </c>
      <c r="AE387" s="209">
        <f t="shared" si="173"/>
        <v>-7</v>
      </c>
      <c r="AF387" s="260"/>
      <c r="AG387" s="260"/>
      <c r="AH387" s="202">
        <f t="shared" si="169"/>
        <v>0</v>
      </c>
      <c r="AI387" s="210" t="e">
        <f>#REF!+5</f>
        <v>#REF!</v>
      </c>
      <c r="AJ387" s="197"/>
      <c r="AK387" s="211">
        <f t="shared" si="170"/>
        <v>0</v>
      </c>
      <c r="AL387" s="210">
        <f t="shared" si="186"/>
        <v>60</v>
      </c>
      <c r="AM387" s="197"/>
      <c r="AN387" s="202"/>
      <c r="AO387" s="202"/>
      <c r="AP387" s="202"/>
      <c r="AQ387" s="193"/>
      <c r="AR387" s="193"/>
      <c r="AS387" s="193"/>
      <c r="AT387" s="193"/>
      <c r="AU387" s="193"/>
      <c r="AV387" s="193"/>
      <c r="AW387" s="193"/>
      <c r="AX387" s="193"/>
      <c r="AY387" s="193"/>
      <c r="AZ387" s="193"/>
      <c r="BA387" s="193"/>
      <c r="BB387" s="193"/>
    </row>
    <row r="388" spans="1:55" s="213" customFormat="1" ht="24" customHeight="1">
      <c r="A388" s="197"/>
      <c r="B388" s="198"/>
      <c r="C388" s="198"/>
      <c r="D388" s="193"/>
      <c r="E388" s="198"/>
      <c r="F388" s="214"/>
      <c r="G388" s="198"/>
      <c r="H388" s="200"/>
      <c r="I388" s="277"/>
      <c r="J388" s="197"/>
      <c r="K388" s="197"/>
      <c r="L388" s="201"/>
      <c r="M388" s="201"/>
      <c r="N388" s="202"/>
      <c r="O388" s="193" t="s">
        <v>31</v>
      </c>
      <c r="P388" s="203"/>
      <c r="Q388" s="203">
        <f>M388*P388</f>
        <v>0</v>
      </c>
      <c r="R388" s="204" t="s">
        <v>30</v>
      </c>
      <c r="S388" s="266">
        <v>0</v>
      </c>
      <c r="T388" s="204">
        <f t="shared" si="191"/>
        <v>0</v>
      </c>
      <c r="U388" s="204">
        <f t="shared" si="192"/>
        <v>0</v>
      </c>
      <c r="V388" s="197"/>
      <c r="W388" s="205"/>
      <c r="X388" s="192"/>
      <c r="Y388" s="207"/>
      <c r="Z388" s="206"/>
      <c r="AA388" s="208"/>
      <c r="AB388" s="207"/>
      <c r="AC388" s="206"/>
      <c r="AD388" s="207">
        <f t="shared" si="193"/>
        <v>7</v>
      </c>
      <c r="AE388" s="209">
        <f t="shared" si="173"/>
        <v>-7</v>
      </c>
      <c r="AF388" s="260"/>
      <c r="AG388" s="260"/>
      <c r="AH388" s="202">
        <f t="shared" si="169"/>
        <v>0</v>
      </c>
      <c r="AI388" s="210" t="e">
        <f>#REF!+5</f>
        <v>#REF!</v>
      </c>
      <c r="AJ388" s="197"/>
      <c r="AK388" s="211">
        <f t="shared" si="170"/>
        <v>0</v>
      </c>
      <c r="AL388" s="210">
        <f t="shared" si="186"/>
        <v>60</v>
      </c>
      <c r="AM388" s="197"/>
      <c r="AN388" s="202"/>
      <c r="AO388" s="202"/>
      <c r="AP388" s="202"/>
      <c r="AQ388" s="193"/>
      <c r="AR388" s="193"/>
      <c r="AS388" s="193"/>
      <c r="AT388" s="193"/>
      <c r="AU388" s="193"/>
      <c r="AV388" s="193"/>
      <c r="AW388" s="193"/>
      <c r="AX388" s="193"/>
      <c r="AY388" s="193"/>
      <c r="AZ388" s="193"/>
      <c r="BA388" s="193"/>
      <c r="BB388" s="193"/>
    </row>
    <row r="389" spans="1:55" s="213" customFormat="1" ht="24" customHeight="1">
      <c r="A389" s="197"/>
      <c r="B389" s="198"/>
      <c r="C389" s="198"/>
      <c r="D389" s="193"/>
      <c r="E389" s="259"/>
      <c r="F389" s="196"/>
      <c r="G389" s="283"/>
      <c r="H389" s="282"/>
      <c r="I389" s="282"/>
      <c r="J389" s="260"/>
      <c r="K389" s="197"/>
      <c r="L389" s="265"/>
      <c r="M389" s="284"/>
      <c r="N389" s="263"/>
      <c r="O389" s="262" t="s">
        <v>35</v>
      </c>
      <c r="P389" s="266"/>
      <c r="Q389" s="266">
        <f t="shared" si="171"/>
        <v>0</v>
      </c>
      <c r="R389" s="266" t="s">
        <v>34</v>
      </c>
      <c r="S389" s="266">
        <v>0</v>
      </c>
      <c r="T389" s="267">
        <f t="shared" si="191"/>
        <v>0</v>
      </c>
      <c r="U389" s="267">
        <f t="shared" si="192"/>
        <v>0</v>
      </c>
      <c r="V389" s="260"/>
      <c r="W389" s="268"/>
      <c r="X389" s="195"/>
      <c r="Y389" s="220"/>
      <c r="Z389" s="221"/>
      <c r="AA389" s="208"/>
      <c r="AB389" s="220"/>
      <c r="AC389" s="207"/>
      <c r="AD389" s="207">
        <f t="shared" si="172"/>
        <v>7</v>
      </c>
      <c r="AE389" s="209">
        <f t="shared" si="173"/>
        <v>-7</v>
      </c>
      <c r="AF389" s="197"/>
      <c r="AG389" s="197"/>
      <c r="AH389" s="202">
        <f t="shared" si="169"/>
        <v>0</v>
      </c>
      <c r="AI389" s="210" t="e">
        <f>#REF!+5</f>
        <v>#REF!</v>
      </c>
      <c r="AJ389" s="260"/>
      <c r="AK389" s="211">
        <f t="shared" si="170"/>
        <v>0</v>
      </c>
      <c r="AL389" s="210">
        <f t="shared" ref="AL389:AL432" si="194">Y389+90</f>
        <v>90</v>
      </c>
      <c r="AM389" s="260"/>
      <c r="AN389" s="202"/>
      <c r="AO389" s="202"/>
      <c r="AP389" s="202"/>
      <c r="AQ389" s="193"/>
      <c r="AR389" s="193"/>
      <c r="AS389" s="193"/>
      <c r="AT389" s="193"/>
      <c r="AU389" s="193"/>
      <c r="AV389" s="193"/>
      <c r="AW389" s="193"/>
      <c r="AX389" s="193"/>
      <c r="AY389" s="193"/>
      <c r="AZ389" s="193"/>
      <c r="BA389" s="193"/>
      <c r="BB389" s="193"/>
      <c r="BC389" s="376"/>
    </row>
    <row r="390" spans="1:55" s="213" customFormat="1" ht="24" customHeight="1">
      <c r="A390" s="197"/>
      <c r="B390" s="198"/>
      <c r="C390" s="198"/>
      <c r="D390" s="193"/>
      <c r="E390" s="259"/>
      <c r="F390" s="196"/>
      <c r="G390" s="283"/>
      <c r="H390" s="282"/>
      <c r="I390" s="282"/>
      <c r="J390" s="260"/>
      <c r="K390" s="197"/>
      <c r="L390" s="265"/>
      <c r="M390" s="284"/>
      <c r="N390" s="263"/>
      <c r="O390" s="262" t="s">
        <v>35</v>
      </c>
      <c r="P390" s="266"/>
      <c r="Q390" s="266">
        <f t="shared" si="171"/>
        <v>0</v>
      </c>
      <c r="R390" s="266" t="s">
        <v>34</v>
      </c>
      <c r="S390" s="266">
        <v>0</v>
      </c>
      <c r="T390" s="267">
        <f t="shared" si="191"/>
        <v>0</v>
      </c>
      <c r="U390" s="267">
        <f t="shared" si="192"/>
        <v>0</v>
      </c>
      <c r="V390" s="260"/>
      <c r="W390" s="268"/>
      <c r="X390" s="195"/>
      <c r="Y390" s="220"/>
      <c r="Z390" s="221"/>
      <c r="AA390" s="208"/>
      <c r="AB390" s="220"/>
      <c r="AC390" s="207"/>
      <c r="AD390" s="207">
        <f t="shared" si="172"/>
        <v>7</v>
      </c>
      <c r="AE390" s="209">
        <f t="shared" si="173"/>
        <v>-7</v>
      </c>
      <c r="AF390" s="197"/>
      <c r="AG390" s="197"/>
      <c r="AH390" s="202">
        <f t="shared" si="169"/>
        <v>0</v>
      </c>
      <c r="AI390" s="210" t="e">
        <f>#REF!+5</f>
        <v>#REF!</v>
      </c>
      <c r="AJ390" s="260"/>
      <c r="AK390" s="211">
        <f t="shared" si="170"/>
        <v>0</v>
      </c>
      <c r="AL390" s="210">
        <f t="shared" si="194"/>
        <v>90</v>
      </c>
      <c r="AM390" s="260"/>
      <c r="AN390" s="202"/>
      <c r="AO390" s="202"/>
      <c r="AP390" s="202"/>
      <c r="AQ390" s="193"/>
      <c r="AR390" s="193"/>
      <c r="AS390" s="193"/>
      <c r="AT390" s="193"/>
      <c r="AU390" s="193"/>
      <c r="AV390" s="193"/>
      <c r="AW390" s="193"/>
      <c r="AX390" s="193"/>
      <c r="AY390" s="193"/>
      <c r="AZ390" s="193"/>
      <c r="BA390" s="193"/>
      <c r="BB390" s="193"/>
      <c r="BC390" s="376"/>
    </row>
    <row r="391" spans="1:55" s="213" customFormat="1" ht="24" customHeight="1">
      <c r="A391" s="197"/>
      <c r="B391" s="198"/>
      <c r="C391" s="198"/>
      <c r="D391" s="193"/>
      <c r="E391" s="259"/>
      <c r="F391" s="196"/>
      <c r="G391" s="283"/>
      <c r="H391" s="282"/>
      <c r="I391" s="282"/>
      <c r="J391" s="260"/>
      <c r="K391" s="197"/>
      <c r="L391" s="265"/>
      <c r="M391" s="284"/>
      <c r="N391" s="263"/>
      <c r="O391" s="262" t="s">
        <v>35</v>
      </c>
      <c r="P391" s="266"/>
      <c r="Q391" s="266">
        <f t="shared" si="171"/>
        <v>0</v>
      </c>
      <c r="R391" s="266" t="s">
        <v>34</v>
      </c>
      <c r="S391" s="266">
        <v>0</v>
      </c>
      <c r="T391" s="267">
        <f t="shared" si="191"/>
        <v>0</v>
      </c>
      <c r="U391" s="267">
        <f t="shared" si="192"/>
        <v>0</v>
      </c>
      <c r="V391" s="260"/>
      <c r="W391" s="268"/>
      <c r="X391" s="195"/>
      <c r="Y391" s="220"/>
      <c r="Z391" s="221"/>
      <c r="AA391" s="208"/>
      <c r="AB391" s="220"/>
      <c r="AC391" s="207"/>
      <c r="AD391" s="207">
        <f t="shared" si="172"/>
        <v>7</v>
      </c>
      <c r="AE391" s="209">
        <f t="shared" si="173"/>
        <v>-7</v>
      </c>
      <c r="AF391" s="197"/>
      <c r="AG391" s="197"/>
      <c r="AH391" s="202">
        <f t="shared" si="169"/>
        <v>0</v>
      </c>
      <c r="AI391" s="210" t="e">
        <f>#REF!+5</f>
        <v>#REF!</v>
      </c>
      <c r="AJ391" s="260"/>
      <c r="AK391" s="211">
        <f t="shared" si="170"/>
        <v>0</v>
      </c>
      <c r="AL391" s="210">
        <f t="shared" si="194"/>
        <v>90</v>
      </c>
      <c r="AM391" s="260"/>
      <c r="AN391" s="202"/>
      <c r="AO391" s="202"/>
      <c r="AP391" s="202"/>
      <c r="AQ391" s="193"/>
      <c r="AR391" s="193"/>
      <c r="AS391" s="193"/>
      <c r="AT391" s="193"/>
      <c r="AU391" s="193"/>
      <c r="AV391" s="193"/>
      <c r="AW391" s="193"/>
      <c r="AX391" s="193"/>
      <c r="AY391" s="193"/>
      <c r="AZ391" s="193"/>
      <c r="BA391" s="193"/>
      <c r="BB391" s="193"/>
      <c r="BC391" s="376"/>
    </row>
    <row r="392" spans="1:55" s="250" customFormat="1" ht="24" customHeight="1">
      <c r="A392" s="197"/>
      <c r="B392" s="198"/>
      <c r="C392" s="198"/>
      <c r="D392" s="193"/>
      <c r="E392" s="259"/>
      <c r="F392" s="196"/>
      <c r="G392" s="283"/>
      <c r="H392" s="282"/>
      <c r="I392" s="282"/>
      <c r="J392" s="260"/>
      <c r="K392" s="197"/>
      <c r="L392" s="265"/>
      <c r="M392" s="284"/>
      <c r="N392" s="263"/>
      <c r="O392" s="262" t="s">
        <v>35</v>
      </c>
      <c r="P392" s="266"/>
      <c r="Q392" s="266">
        <f t="shared" si="171"/>
        <v>0</v>
      </c>
      <c r="R392" s="266" t="s">
        <v>34</v>
      </c>
      <c r="S392" s="266">
        <v>0</v>
      </c>
      <c r="T392" s="267">
        <f t="shared" si="191"/>
        <v>0</v>
      </c>
      <c r="U392" s="267">
        <f t="shared" si="192"/>
        <v>0</v>
      </c>
      <c r="V392" s="260"/>
      <c r="W392" s="268"/>
      <c r="X392" s="195"/>
      <c r="Y392" s="220"/>
      <c r="Z392" s="221"/>
      <c r="AA392" s="208"/>
      <c r="AB392" s="220"/>
      <c r="AC392" s="207"/>
      <c r="AD392" s="207">
        <f t="shared" si="172"/>
        <v>7</v>
      </c>
      <c r="AE392" s="209">
        <f t="shared" si="173"/>
        <v>-7</v>
      </c>
      <c r="AF392" s="197"/>
      <c r="AG392" s="197"/>
      <c r="AH392" s="202">
        <f t="shared" si="169"/>
        <v>0</v>
      </c>
      <c r="AI392" s="210" t="e">
        <f>#REF!+5</f>
        <v>#REF!</v>
      </c>
      <c r="AJ392" s="260"/>
      <c r="AK392" s="211">
        <f t="shared" si="170"/>
        <v>0</v>
      </c>
      <c r="AL392" s="210">
        <f t="shared" si="194"/>
        <v>90</v>
      </c>
      <c r="AM392" s="260"/>
      <c r="AN392" s="202"/>
      <c r="AO392" s="202"/>
      <c r="AP392" s="202"/>
      <c r="AQ392" s="193"/>
      <c r="AR392" s="193"/>
      <c r="AS392" s="193"/>
      <c r="AT392" s="193"/>
      <c r="AU392" s="193"/>
      <c r="AV392" s="193"/>
      <c r="AW392" s="193"/>
      <c r="AX392" s="193"/>
      <c r="AY392" s="193"/>
      <c r="AZ392" s="193"/>
      <c r="BA392" s="193"/>
      <c r="BB392" s="193"/>
      <c r="BC392" s="376"/>
    </row>
    <row r="393" spans="1:55" s="250" customFormat="1" ht="24" customHeight="1">
      <c r="A393" s="197"/>
      <c r="B393" s="198"/>
      <c r="C393" s="198"/>
      <c r="D393" s="193"/>
      <c r="E393" s="259"/>
      <c r="F393" s="196"/>
      <c r="G393" s="283"/>
      <c r="H393" s="264"/>
      <c r="I393" s="282"/>
      <c r="J393" s="260"/>
      <c r="K393" s="197"/>
      <c r="L393" s="265"/>
      <c r="M393" s="284"/>
      <c r="N393" s="263"/>
      <c r="O393" s="262" t="s">
        <v>35</v>
      </c>
      <c r="P393" s="266"/>
      <c r="Q393" s="266">
        <f t="shared" si="171"/>
        <v>0</v>
      </c>
      <c r="R393" s="266" t="s">
        <v>34</v>
      </c>
      <c r="S393" s="266">
        <v>0</v>
      </c>
      <c r="T393" s="267">
        <f t="shared" si="191"/>
        <v>0</v>
      </c>
      <c r="U393" s="267">
        <f t="shared" si="192"/>
        <v>0</v>
      </c>
      <c r="V393" s="260"/>
      <c r="W393" s="268"/>
      <c r="X393" s="195"/>
      <c r="Y393" s="220"/>
      <c r="Z393" s="221"/>
      <c r="AA393" s="208"/>
      <c r="AB393" s="220"/>
      <c r="AC393" s="207"/>
      <c r="AD393" s="207">
        <f t="shared" si="172"/>
        <v>7</v>
      </c>
      <c r="AE393" s="209">
        <f t="shared" si="173"/>
        <v>-7</v>
      </c>
      <c r="AF393" s="197"/>
      <c r="AG393" s="197"/>
      <c r="AH393" s="202">
        <f t="shared" si="169"/>
        <v>0</v>
      </c>
      <c r="AI393" s="210" t="e">
        <f>#REF!+5</f>
        <v>#REF!</v>
      </c>
      <c r="AJ393" s="260"/>
      <c r="AK393" s="211">
        <f t="shared" si="170"/>
        <v>0</v>
      </c>
      <c r="AL393" s="210">
        <f t="shared" si="194"/>
        <v>90</v>
      </c>
      <c r="AM393" s="260"/>
      <c r="AN393" s="202"/>
      <c r="AO393" s="202"/>
      <c r="AP393" s="202"/>
      <c r="AQ393" s="193"/>
      <c r="AR393" s="193"/>
      <c r="AS393" s="193"/>
      <c r="AT393" s="193"/>
      <c r="AU393" s="193"/>
      <c r="AV393" s="193"/>
      <c r="AW393" s="193"/>
      <c r="AX393" s="193"/>
      <c r="AY393" s="193"/>
      <c r="AZ393" s="193"/>
      <c r="BA393" s="193"/>
      <c r="BB393" s="193"/>
      <c r="BC393" s="376"/>
    </row>
    <row r="394" spans="1:55" s="213" customFormat="1" ht="24" customHeight="1">
      <c r="A394" s="197"/>
      <c r="B394" s="197"/>
      <c r="C394" s="194"/>
      <c r="D394" s="193"/>
      <c r="E394" s="194"/>
      <c r="F394" s="194"/>
      <c r="G394" s="194"/>
      <c r="H394" s="200"/>
      <c r="I394" s="215"/>
      <c r="J394" s="197"/>
      <c r="K394" s="197"/>
      <c r="L394" s="194"/>
      <c r="M394" s="194"/>
      <c r="N394" s="194"/>
      <c r="O394" s="193" t="s">
        <v>31</v>
      </c>
      <c r="P394" s="203"/>
      <c r="Q394" s="203">
        <f t="shared" si="171"/>
        <v>0</v>
      </c>
      <c r="R394" s="203" t="s">
        <v>30</v>
      </c>
      <c r="S394" s="266">
        <v>0</v>
      </c>
      <c r="T394" s="204">
        <f t="shared" si="191"/>
        <v>0</v>
      </c>
      <c r="U394" s="204">
        <f t="shared" si="192"/>
        <v>0</v>
      </c>
      <c r="V394" s="194"/>
      <c r="W394" s="205"/>
      <c r="X394" s="195"/>
      <c r="Y394" s="207"/>
      <c r="Z394" s="207"/>
      <c r="AA394" s="208"/>
      <c r="AB394" s="206"/>
      <c r="AC394" s="207"/>
      <c r="AD394" s="207">
        <f t="shared" si="172"/>
        <v>7</v>
      </c>
      <c r="AE394" s="209">
        <f t="shared" si="173"/>
        <v>-7</v>
      </c>
      <c r="AF394" s="197"/>
      <c r="AG394" s="197"/>
      <c r="AH394" s="202">
        <f t="shared" si="169"/>
        <v>0</v>
      </c>
      <c r="AI394" s="210" t="e">
        <f>#REF!+5</f>
        <v>#REF!</v>
      </c>
      <c r="AJ394" s="197"/>
      <c r="AK394" s="211">
        <f t="shared" si="170"/>
        <v>0</v>
      </c>
      <c r="AL394" s="210">
        <f t="shared" si="194"/>
        <v>90</v>
      </c>
      <c r="AM394" s="197"/>
      <c r="AN394" s="194"/>
      <c r="AO394" s="194"/>
      <c r="AP394" s="194"/>
      <c r="AQ394" s="193"/>
      <c r="AR394" s="193"/>
      <c r="AS394" s="193"/>
      <c r="AT394" s="193"/>
      <c r="AU394" s="193"/>
      <c r="AV394" s="193"/>
      <c r="AW394" s="193"/>
      <c r="AX394" s="193"/>
      <c r="AY394" s="193"/>
      <c r="AZ394" s="193"/>
      <c r="BA394" s="193"/>
      <c r="BB394" s="193"/>
      <c r="BC394" s="376"/>
    </row>
    <row r="395" spans="1:55" s="213" customFormat="1" ht="24" customHeight="1">
      <c r="A395" s="197"/>
      <c r="B395" s="197"/>
      <c r="C395" s="194"/>
      <c r="D395" s="193"/>
      <c r="E395" s="194"/>
      <c r="F395" s="194"/>
      <c r="G395" s="194"/>
      <c r="H395" s="200"/>
      <c r="I395" s="277"/>
      <c r="J395" s="197"/>
      <c r="K395" s="197"/>
      <c r="L395" s="194"/>
      <c r="M395" s="194"/>
      <c r="N395" s="194"/>
      <c r="O395" s="193" t="s">
        <v>31</v>
      </c>
      <c r="P395" s="203"/>
      <c r="Q395" s="203">
        <f t="shared" si="171"/>
        <v>0</v>
      </c>
      <c r="R395" s="204" t="s">
        <v>30</v>
      </c>
      <c r="S395" s="266">
        <v>0</v>
      </c>
      <c r="T395" s="204">
        <f t="shared" si="191"/>
        <v>0</v>
      </c>
      <c r="U395" s="204">
        <f t="shared" si="192"/>
        <v>0</v>
      </c>
      <c r="V395" s="194"/>
      <c r="W395" s="205"/>
      <c r="X395" s="192"/>
      <c r="Y395" s="207"/>
      <c r="Z395" s="207"/>
      <c r="AA395" s="208"/>
      <c r="AB395" s="206"/>
      <c r="AC395" s="206"/>
      <c r="AD395" s="207">
        <f t="shared" si="172"/>
        <v>7</v>
      </c>
      <c r="AE395" s="209">
        <f t="shared" si="173"/>
        <v>-7</v>
      </c>
      <c r="AF395" s="197"/>
      <c r="AG395" s="197"/>
      <c r="AH395" s="202">
        <f t="shared" si="169"/>
        <v>0</v>
      </c>
      <c r="AI395" s="210" t="e">
        <f>#REF!+5</f>
        <v>#REF!</v>
      </c>
      <c r="AJ395" s="197"/>
      <c r="AK395" s="211">
        <f t="shared" si="170"/>
        <v>0</v>
      </c>
      <c r="AL395" s="210">
        <f t="shared" si="194"/>
        <v>90</v>
      </c>
      <c r="AM395" s="197"/>
      <c r="AN395" s="194"/>
      <c r="AO395" s="194"/>
      <c r="AP395" s="194"/>
      <c r="AQ395" s="193"/>
      <c r="AR395" s="193"/>
      <c r="AS395" s="193"/>
      <c r="AT395" s="193"/>
      <c r="AU395" s="193"/>
      <c r="AV395" s="193"/>
      <c r="AW395" s="193"/>
      <c r="AX395" s="193"/>
      <c r="AY395" s="193"/>
      <c r="AZ395" s="193"/>
      <c r="BA395" s="193"/>
      <c r="BB395" s="193"/>
    </row>
    <row r="396" spans="1:55" s="213" customFormat="1" ht="24" customHeight="1">
      <c r="A396" s="197"/>
      <c r="B396" s="197"/>
      <c r="C396" s="194"/>
      <c r="D396" s="193"/>
      <c r="E396" s="194"/>
      <c r="F396" s="194"/>
      <c r="G396" s="194"/>
      <c r="H396" s="200"/>
      <c r="I396" s="277"/>
      <c r="J396" s="197"/>
      <c r="K396" s="197"/>
      <c r="L396" s="194"/>
      <c r="M396" s="194"/>
      <c r="N396" s="194"/>
      <c r="O396" s="193" t="s">
        <v>31</v>
      </c>
      <c r="P396" s="203"/>
      <c r="Q396" s="203">
        <f>M396*P396</f>
        <v>0</v>
      </c>
      <c r="R396" s="204" t="s">
        <v>30</v>
      </c>
      <c r="S396" s="266">
        <v>0</v>
      </c>
      <c r="T396" s="204">
        <f t="shared" si="191"/>
        <v>0</v>
      </c>
      <c r="U396" s="204">
        <f t="shared" si="192"/>
        <v>0</v>
      </c>
      <c r="V396" s="194"/>
      <c r="W396" s="205"/>
      <c r="X396" s="192"/>
      <c r="Y396" s="207"/>
      <c r="Z396" s="207"/>
      <c r="AA396" s="208"/>
      <c r="AB396" s="206"/>
      <c r="AC396" s="206"/>
      <c r="AD396" s="207">
        <f t="shared" si="172"/>
        <v>7</v>
      </c>
      <c r="AE396" s="209">
        <f t="shared" si="173"/>
        <v>-7</v>
      </c>
      <c r="AF396" s="197"/>
      <c r="AG396" s="197"/>
      <c r="AH396" s="202">
        <f t="shared" si="169"/>
        <v>0</v>
      </c>
      <c r="AI396" s="210" t="e">
        <f>#REF!+5</f>
        <v>#REF!</v>
      </c>
      <c r="AJ396" s="197"/>
      <c r="AK396" s="211">
        <f t="shared" si="170"/>
        <v>0</v>
      </c>
      <c r="AL396" s="210">
        <f t="shared" si="194"/>
        <v>90</v>
      </c>
      <c r="AM396" s="197"/>
      <c r="AN396" s="194"/>
      <c r="AO396" s="194"/>
      <c r="AP396" s="194"/>
      <c r="AQ396" s="193"/>
      <c r="AR396" s="193"/>
      <c r="AS396" s="193"/>
      <c r="AT396" s="193"/>
      <c r="AU396" s="193"/>
      <c r="AV396" s="193"/>
      <c r="AW396" s="193"/>
      <c r="AX396" s="193"/>
      <c r="AY396" s="193"/>
      <c r="AZ396" s="193"/>
      <c r="BA396" s="193"/>
      <c r="BB396" s="193"/>
    </row>
    <row r="397" spans="1:55" s="213" customFormat="1" ht="24" customHeight="1">
      <c r="A397" s="197"/>
      <c r="B397" s="197"/>
      <c r="C397" s="194"/>
      <c r="D397" s="193"/>
      <c r="E397" s="194"/>
      <c r="F397" s="194"/>
      <c r="G397" s="194"/>
      <c r="H397" s="200"/>
      <c r="I397" s="277"/>
      <c r="J397" s="197"/>
      <c r="K397" s="197"/>
      <c r="L397" s="194"/>
      <c r="M397" s="194"/>
      <c r="N397" s="194"/>
      <c r="O397" s="193" t="s">
        <v>31</v>
      </c>
      <c r="P397" s="203"/>
      <c r="Q397" s="203">
        <f>M397*P397</f>
        <v>0</v>
      </c>
      <c r="R397" s="204" t="s">
        <v>30</v>
      </c>
      <c r="S397" s="266">
        <v>0</v>
      </c>
      <c r="T397" s="204">
        <f t="shared" si="191"/>
        <v>0</v>
      </c>
      <c r="U397" s="204">
        <f t="shared" si="192"/>
        <v>0</v>
      </c>
      <c r="V397" s="194"/>
      <c r="W397" s="205"/>
      <c r="X397" s="192"/>
      <c r="Y397" s="207"/>
      <c r="Z397" s="207"/>
      <c r="AA397" s="208"/>
      <c r="AB397" s="206"/>
      <c r="AC397" s="206"/>
      <c r="AD397" s="207">
        <f t="shared" si="172"/>
        <v>7</v>
      </c>
      <c r="AE397" s="209">
        <f t="shared" si="173"/>
        <v>-7</v>
      </c>
      <c r="AF397" s="197"/>
      <c r="AG397" s="197"/>
      <c r="AH397" s="202">
        <f t="shared" si="169"/>
        <v>0</v>
      </c>
      <c r="AI397" s="210" t="e">
        <f>#REF!+5</f>
        <v>#REF!</v>
      </c>
      <c r="AJ397" s="197"/>
      <c r="AK397" s="211">
        <f t="shared" si="170"/>
        <v>0</v>
      </c>
      <c r="AL397" s="210">
        <f t="shared" si="194"/>
        <v>90</v>
      </c>
      <c r="AM397" s="197"/>
      <c r="AN397" s="194"/>
      <c r="AO397" s="194"/>
      <c r="AP397" s="194"/>
      <c r="AQ397" s="193"/>
      <c r="AR397" s="193"/>
      <c r="AS397" s="193"/>
      <c r="AT397" s="193"/>
      <c r="AU397" s="193"/>
      <c r="AV397" s="193"/>
      <c r="AW397" s="193"/>
      <c r="AX397" s="193"/>
      <c r="AY397" s="193"/>
      <c r="AZ397" s="193"/>
      <c r="BA397" s="193"/>
      <c r="BB397" s="193"/>
    </row>
    <row r="398" spans="1:55" s="213" customFormat="1" ht="24" customHeight="1">
      <c r="A398" s="197"/>
      <c r="B398" s="197"/>
      <c r="C398" s="194"/>
      <c r="D398" s="193"/>
      <c r="E398" s="194"/>
      <c r="F398" s="194"/>
      <c r="G398" s="194"/>
      <c r="H398" s="200"/>
      <c r="I398" s="277"/>
      <c r="J398" s="197"/>
      <c r="K398" s="197"/>
      <c r="L398" s="194"/>
      <c r="M398" s="194"/>
      <c r="N398" s="194"/>
      <c r="O398" s="193" t="s">
        <v>31</v>
      </c>
      <c r="P398" s="203"/>
      <c r="Q398" s="203">
        <f>M398*P398</f>
        <v>0</v>
      </c>
      <c r="R398" s="204" t="s">
        <v>30</v>
      </c>
      <c r="S398" s="266">
        <v>0</v>
      </c>
      <c r="T398" s="204">
        <f t="shared" si="191"/>
        <v>0</v>
      </c>
      <c r="U398" s="204">
        <f t="shared" si="192"/>
        <v>0</v>
      </c>
      <c r="V398" s="194"/>
      <c r="W398" s="205"/>
      <c r="X398" s="192"/>
      <c r="Y398" s="207"/>
      <c r="Z398" s="207"/>
      <c r="AA398" s="208"/>
      <c r="AB398" s="206"/>
      <c r="AC398" s="206"/>
      <c r="AD398" s="207">
        <f t="shared" si="172"/>
        <v>7</v>
      </c>
      <c r="AE398" s="209">
        <f t="shared" si="173"/>
        <v>-7</v>
      </c>
      <c r="AF398" s="197"/>
      <c r="AG398" s="197"/>
      <c r="AH398" s="202">
        <f t="shared" si="169"/>
        <v>0</v>
      </c>
      <c r="AI398" s="210" t="e">
        <f>#REF!+5</f>
        <v>#REF!</v>
      </c>
      <c r="AJ398" s="197"/>
      <c r="AK398" s="211">
        <f t="shared" si="170"/>
        <v>0</v>
      </c>
      <c r="AL398" s="210">
        <f t="shared" si="194"/>
        <v>90</v>
      </c>
      <c r="AM398" s="197"/>
      <c r="AN398" s="194"/>
      <c r="AO398" s="194"/>
      <c r="AP398" s="194"/>
      <c r="AQ398" s="193"/>
      <c r="AR398" s="193"/>
      <c r="AS398" s="193"/>
      <c r="AT398" s="193"/>
      <c r="AU398" s="193"/>
      <c r="AV398" s="193"/>
      <c r="AW398" s="193"/>
      <c r="AX398" s="193"/>
      <c r="AY398" s="193"/>
      <c r="AZ398" s="193"/>
      <c r="BA398" s="193"/>
      <c r="BB398" s="193"/>
    </row>
    <row r="399" spans="1:55" s="213" customFormat="1" ht="24" customHeight="1">
      <c r="A399" s="197"/>
      <c r="B399" s="197"/>
      <c r="C399" s="194"/>
      <c r="D399" s="193"/>
      <c r="E399" s="194"/>
      <c r="F399" s="194"/>
      <c r="G399" s="194"/>
      <c r="H399" s="200"/>
      <c r="I399" s="277"/>
      <c r="J399" s="197"/>
      <c r="K399" s="197"/>
      <c r="L399" s="194"/>
      <c r="M399" s="194"/>
      <c r="N399" s="194"/>
      <c r="O399" s="193" t="s">
        <v>31</v>
      </c>
      <c r="P399" s="203"/>
      <c r="Q399" s="203">
        <f>M399*P399</f>
        <v>0</v>
      </c>
      <c r="R399" s="204" t="s">
        <v>30</v>
      </c>
      <c r="S399" s="266">
        <v>0</v>
      </c>
      <c r="T399" s="204">
        <f t="shared" si="191"/>
        <v>0</v>
      </c>
      <c r="U399" s="204">
        <f t="shared" si="192"/>
        <v>0</v>
      </c>
      <c r="V399" s="194"/>
      <c r="W399" s="205"/>
      <c r="X399" s="192"/>
      <c r="Y399" s="207"/>
      <c r="Z399" s="207"/>
      <c r="AA399" s="208"/>
      <c r="AB399" s="206"/>
      <c r="AC399" s="206"/>
      <c r="AD399" s="207">
        <f t="shared" si="172"/>
        <v>7</v>
      </c>
      <c r="AE399" s="209">
        <f t="shared" si="173"/>
        <v>-7</v>
      </c>
      <c r="AF399" s="197"/>
      <c r="AG399" s="197"/>
      <c r="AH399" s="202">
        <f t="shared" si="169"/>
        <v>0</v>
      </c>
      <c r="AI399" s="210" t="e">
        <f>#REF!+5</f>
        <v>#REF!</v>
      </c>
      <c r="AJ399" s="197"/>
      <c r="AK399" s="211">
        <f t="shared" si="170"/>
        <v>0</v>
      </c>
      <c r="AL399" s="210">
        <f t="shared" si="194"/>
        <v>90</v>
      </c>
      <c r="AM399" s="197"/>
      <c r="AN399" s="194"/>
      <c r="AO399" s="194"/>
      <c r="AP399" s="194"/>
      <c r="AQ399" s="193"/>
      <c r="AR399" s="193"/>
      <c r="AS399" s="193"/>
      <c r="AT399" s="193"/>
      <c r="AU399" s="193"/>
      <c r="AV399" s="193"/>
      <c r="AW399" s="193"/>
      <c r="AX399" s="193"/>
      <c r="AY399" s="193"/>
      <c r="AZ399" s="193"/>
      <c r="BA399" s="193"/>
      <c r="BB399" s="193"/>
    </row>
    <row r="400" spans="1:55" s="213" customFormat="1" ht="24" customHeight="1">
      <c r="A400" s="197"/>
      <c r="B400" s="197"/>
      <c r="C400" s="194"/>
      <c r="D400" s="193"/>
      <c r="E400" s="194"/>
      <c r="F400" s="194"/>
      <c r="G400" s="194"/>
      <c r="H400" s="200"/>
      <c r="I400" s="277"/>
      <c r="J400" s="197"/>
      <c r="K400" s="197"/>
      <c r="L400" s="194"/>
      <c r="M400" s="194"/>
      <c r="N400" s="194"/>
      <c r="O400" s="193" t="s">
        <v>31</v>
      </c>
      <c r="P400" s="203"/>
      <c r="Q400" s="203">
        <f t="shared" ref="Q400:Q430" si="195">M400*P400</f>
        <v>0</v>
      </c>
      <c r="R400" s="204" t="s">
        <v>30</v>
      </c>
      <c r="S400" s="266">
        <v>0</v>
      </c>
      <c r="T400" s="204">
        <f t="shared" ref="T400:T430" si="196">M400*S400</f>
        <v>0</v>
      </c>
      <c r="U400" s="204">
        <f t="shared" ref="U400:U430" si="197">P400-S400</f>
        <v>0</v>
      </c>
      <c r="V400" s="194"/>
      <c r="W400" s="205"/>
      <c r="X400" s="192"/>
      <c r="Y400" s="224"/>
      <c r="Z400" s="224"/>
      <c r="AA400" s="194"/>
      <c r="AB400" s="224"/>
      <c r="AC400" s="206"/>
      <c r="AD400" s="207">
        <f t="shared" si="172"/>
        <v>7</v>
      </c>
      <c r="AE400" s="209">
        <f t="shared" si="173"/>
        <v>-7</v>
      </c>
      <c r="AF400" s="197"/>
      <c r="AG400" s="197"/>
      <c r="AH400" s="202">
        <f t="shared" si="169"/>
        <v>0</v>
      </c>
      <c r="AI400" s="210" t="e">
        <f>#REF!+5</f>
        <v>#REF!</v>
      </c>
      <c r="AJ400" s="197"/>
      <c r="AK400" s="211">
        <f t="shared" si="170"/>
        <v>0</v>
      </c>
      <c r="AL400" s="210">
        <f t="shared" si="194"/>
        <v>90</v>
      </c>
      <c r="AM400" s="197"/>
      <c r="AN400" s="194"/>
      <c r="AO400" s="194"/>
      <c r="AP400" s="194"/>
      <c r="AQ400" s="193"/>
      <c r="AR400" s="193"/>
      <c r="AS400" s="193"/>
      <c r="AT400" s="193"/>
      <c r="AU400" s="193"/>
      <c r="AV400" s="193"/>
      <c r="AW400" s="193"/>
      <c r="AX400" s="193"/>
      <c r="AY400" s="193"/>
      <c r="AZ400" s="193"/>
      <c r="BA400" s="193"/>
      <c r="BB400" s="193"/>
    </row>
    <row r="401" spans="1:54" s="250" customFormat="1" ht="24" customHeight="1">
      <c r="A401" s="197"/>
      <c r="B401" s="197"/>
      <c r="C401" s="194"/>
      <c r="D401" s="193"/>
      <c r="E401" s="194"/>
      <c r="F401" s="240"/>
      <c r="G401" s="194"/>
      <c r="H401" s="264"/>
      <c r="I401" s="285"/>
      <c r="J401" s="197"/>
      <c r="K401" s="197"/>
      <c r="L401" s="194"/>
      <c r="M401" s="194"/>
      <c r="N401" s="194"/>
      <c r="O401" s="193" t="s">
        <v>31</v>
      </c>
      <c r="P401" s="266"/>
      <c r="Q401" s="266">
        <f t="shared" si="195"/>
        <v>0</v>
      </c>
      <c r="R401" s="267" t="s">
        <v>30</v>
      </c>
      <c r="S401" s="266">
        <v>0</v>
      </c>
      <c r="T401" s="267">
        <f t="shared" si="196"/>
        <v>0</v>
      </c>
      <c r="U401" s="267">
        <f t="shared" si="197"/>
        <v>0</v>
      </c>
      <c r="V401" s="194"/>
      <c r="W401" s="268"/>
      <c r="X401" s="269"/>
      <c r="Y401" s="224"/>
      <c r="Z401" s="224"/>
      <c r="AA401" s="194"/>
      <c r="AB401" s="224"/>
      <c r="AC401" s="271"/>
      <c r="AD401" s="207">
        <f t="shared" si="172"/>
        <v>7</v>
      </c>
      <c r="AE401" s="209">
        <f t="shared" si="173"/>
        <v>-7</v>
      </c>
      <c r="AF401" s="197"/>
      <c r="AG401" s="197"/>
      <c r="AH401" s="202">
        <f t="shared" si="169"/>
        <v>0</v>
      </c>
      <c r="AI401" s="210" t="e">
        <f>#REF!+5</f>
        <v>#REF!</v>
      </c>
      <c r="AJ401" s="197"/>
      <c r="AK401" s="211">
        <f t="shared" si="170"/>
        <v>0</v>
      </c>
      <c r="AL401" s="210">
        <f t="shared" si="194"/>
        <v>90</v>
      </c>
      <c r="AM401" s="197"/>
      <c r="AN401" s="194"/>
      <c r="AO401" s="194"/>
      <c r="AP401" s="194"/>
      <c r="AQ401" s="193"/>
      <c r="AR401" s="193"/>
      <c r="AS401" s="193"/>
      <c r="AT401" s="193"/>
      <c r="AU401" s="193"/>
      <c r="AV401" s="193"/>
      <c r="AW401" s="193"/>
      <c r="AX401" s="193"/>
      <c r="AY401" s="193"/>
      <c r="AZ401" s="193"/>
      <c r="BA401" s="193"/>
      <c r="BB401" s="193"/>
    </row>
    <row r="402" spans="1:54" s="250" customFormat="1" ht="24" customHeight="1">
      <c r="A402" s="197"/>
      <c r="B402" s="197"/>
      <c r="C402" s="194"/>
      <c r="D402" s="193"/>
      <c r="E402" s="194"/>
      <c r="F402" s="240"/>
      <c r="G402" s="194"/>
      <c r="H402" s="264"/>
      <c r="I402" s="285"/>
      <c r="J402" s="197"/>
      <c r="K402" s="197"/>
      <c r="L402" s="194"/>
      <c r="M402" s="194"/>
      <c r="N402" s="194"/>
      <c r="O402" s="193" t="s">
        <v>31</v>
      </c>
      <c r="P402" s="266"/>
      <c r="Q402" s="266">
        <f t="shared" si="195"/>
        <v>0</v>
      </c>
      <c r="R402" s="267" t="s">
        <v>30</v>
      </c>
      <c r="S402" s="266">
        <v>0</v>
      </c>
      <c r="T402" s="267">
        <f t="shared" si="196"/>
        <v>0</v>
      </c>
      <c r="U402" s="267">
        <f t="shared" si="197"/>
        <v>0</v>
      </c>
      <c r="V402" s="194"/>
      <c r="W402" s="268"/>
      <c r="X402" s="269"/>
      <c r="Y402" s="224"/>
      <c r="Z402" s="224"/>
      <c r="AA402" s="194"/>
      <c r="AB402" s="224"/>
      <c r="AC402" s="271"/>
      <c r="AD402" s="207">
        <f t="shared" si="172"/>
        <v>7</v>
      </c>
      <c r="AE402" s="209">
        <f t="shared" si="173"/>
        <v>-7</v>
      </c>
      <c r="AF402" s="197"/>
      <c r="AG402" s="197"/>
      <c r="AH402" s="202">
        <f t="shared" si="169"/>
        <v>0</v>
      </c>
      <c r="AI402" s="210" t="e">
        <f>#REF!+5</f>
        <v>#REF!</v>
      </c>
      <c r="AJ402" s="197"/>
      <c r="AK402" s="211">
        <f t="shared" si="170"/>
        <v>0</v>
      </c>
      <c r="AL402" s="210">
        <f t="shared" si="194"/>
        <v>90</v>
      </c>
      <c r="AM402" s="197"/>
      <c r="AN402" s="194"/>
      <c r="AO402" s="194"/>
      <c r="AP402" s="194"/>
      <c r="AQ402" s="193"/>
      <c r="AR402" s="193"/>
      <c r="AS402" s="193"/>
      <c r="AT402" s="193"/>
      <c r="AU402" s="193"/>
      <c r="AV402" s="193"/>
      <c r="AW402" s="193"/>
      <c r="AX402" s="193"/>
      <c r="AY402" s="193"/>
      <c r="AZ402" s="193"/>
      <c r="BA402" s="193"/>
      <c r="BB402" s="193"/>
    </row>
    <row r="403" spans="1:54" s="250" customFormat="1" ht="24" customHeight="1">
      <c r="A403" s="197"/>
      <c r="B403" s="197"/>
      <c r="C403" s="194"/>
      <c r="D403" s="193"/>
      <c r="E403" s="194"/>
      <c r="F403" s="240"/>
      <c r="G403" s="194"/>
      <c r="H403" s="264"/>
      <c r="I403" s="285"/>
      <c r="J403" s="197"/>
      <c r="K403" s="197"/>
      <c r="L403" s="194"/>
      <c r="M403" s="194"/>
      <c r="N403" s="194"/>
      <c r="O403" s="193" t="s">
        <v>31</v>
      </c>
      <c r="P403" s="266"/>
      <c r="Q403" s="266">
        <f t="shared" si="195"/>
        <v>0</v>
      </c>
      <c r="R403" s="267" t="s">
        <v>30</v>
      </c>
      <c r="S403" s="266">
        <v>0</v>
      </c>
      <c r="T403" s="267">
        <f t="shared" si="196"/>
        <v>0</v>
      </c>
      <c r="U403" s="267">
        <f t="shared" si="197"/>
        <v>0</v>
      </c>
      <c r="V403" s="194"/>
      <c r="W403" s="268"/>
      <c r="X403" s="269"/>
      <c r="Y403" s="224"/>
      <c r="Z403" s="224"/>
      <c r="AA403" s="194"/>
      <c r="AB403" s="224"/>
      <c r="AC403" s="271"/>
      <c r="AD403" s="207">
        <f t="shared" si="172"/>
        <v>7</v>
      </c>
      <c r="AE403" s="209">
        <f t="shared" si="173"/>
        <v>-7</v>
      </c>
      <c r="AF403" s="197"/>
      <c r="AG403" s="197"/>
      <c r="AH403" s="202">
        <f t="shared" si="169"/>
        <v>0</v>
      </c>
      <c r="AI403" s="210" t="e">
        <f>#REF!+5</f>
        <v>#REF!</v>
      </c>
      <c r="AJ403" s="197"/>
      <c r="AK403" s="211">
        <f t="shared" si="170"/>
        <v>0</v>
      </c>
      <c r="AL403" s="210">
        <f t="shared" si="194"/>
        <v>90</v>
      </c>
      <c r="AM403" s="197"/>
      <c r="AN403" s="194"/>
      <c r="AO403" s="194"/>
      <c r="AP403" s="194"/>
      <c r="AQ403" s="193"/>
      <c r="AR403" s="193"/>
      <c r="AS403" s="193"/>
      <c r="AT403" s="193"/>
      <c r="AU403" s="193"/>
      <c r="AV403" s="193"/>
      <c r="AW403" s="193"/>
      <c r="AX403" s="193"/>
      <c r="AY403" s="193"/>
      <c r="AZ403" s="193"/>
      <c r="BA403" s="193"/>
      <c r="BB403" s="193"/>
    </row>
    <row r="404" spans="1:54" s="250" customFormat="1" ht="24" customHeight="1">
      <c r="A404" s="197"/>
      <c r="B404" s="197"/>
      <c r="C404" s="194"/>
      <c r="D404" s="193"/>
      <c r="E404" s="194"/>
      <c r="F404" s="240"/>
      <c r="G404" s="194"/>
      <c r="H404" s="264"/>
      <c r="I404" s="285"/>
      <c r="J404" s="197"/>
      <c r="K404" s="197"/>
      <c r="L404" s="194"/>
      <c r="M404" s="194"/>
      <c r="N404" s="194"/>
      <c r="O404" s="193" t="s">
        <v>31</v>
      </c>
      <c r="P404" s="266"/>
      <c r="Q404" s="266">
        <f t="shared" si="195"/>
        <v>0</v>
      </c>
      <c r="R404" s="267" t="s">
        <v>30</v>
      </c>
      <c r="S404" s="266">
        <v>0</v>
      </c>
      <c r="T404" s="267">
        <f t="shared" si="196"/>
        <v>0</v>
      </c>
      <c r="U404" s="267">
        <f t="shared" si="197"/>
        <v>0</v>
      </c>
      <c r="V404" s="194"/>
      <c r="W404" s="268"/>
      <c r="X404" s="269"/>
      <c r="Y404" s="224"/>
      <c r="Z404" s="224"/>
      <c r="AA404" s="194"/>
      <c r="AB404" s="224"/>
      <c r="AC404" s="271"/>
      <c r="AD404" s="207">
        <f t="shared" si="172"/>
        <v>7</v>
      </c>
      <c r="AE404" s="209">
        <f t="shared" si="173"/>
        <v>-7</v>
      </c>
      <c r="AF404" s="197"/>
      <c r="AG404" s="197"/>
      <c r="AH404" s="202">
        <f t="shared" si="169"/>
        <v>0</v>
      </c>
      <c r="AI404" s="210" t="e">
        <f>#REF!+5</f>
        <v>#REF!</v>
      </c>
      <c r="AJ404" s="197"/>
      <c r="AK404" s="211">
        <f t="shared" si="170"/>
        <v>0</v>
      </c>
      <c r="AL404" s="210">
        <f t="shared" si="194"/>
        <v>90</v>
      </c>
      <c r="AM404" s="197"/>
      <c r="AN404" s="194"/>
      <c r="AO404" s="194"/>
      <c r="AP404" s="194"/>
      <c r="AQ404" s="193"/>
      <c r="AR404" s="193"/>
      <c r="AS404" s="193"/>
      <c r="AT404" s="193"/>
      <c r="AU404" s="193"/>
      <c r="AV404" s="193"/>
      <c r="AW404" s="193"/>
      <c r="AX404" s="193"/>
      <c r="AY404" s="193"/>
      <c r="AZ404" s="193"/>
      <c r="BA404" s="193"/>
      <c r="BB404" s="193"/>
    </row>
    <row r="405" spans="1:54" s="250" customFormat="1" ht="24" customHeight="1">
      <c r="A405" s="197"/>
      <c r="B405" s="197"/>
      <c r="C405" s="194"/>
      <c r="D405" s="193"/>
      <c r="E405" s="194"/>
      <c r="F405" s="240"/>
      <c r="G405" s="194"/>
      <c r="H405" s="264"/>
      <c r="I405" s="285"/>
      <c r="J405" s="197"/>
      <c r="K405" s="197"/>
      <c r="L405" s="194"/>
      <c r="M405" s="194"/>
      <c r="N405" s="194"/>
      <c r="O405" s="193" t="s">
        <v>31</v>
      </c>
      <c r="P405" s="266"/>
      <c r="Q405" s="266">
        <f t="shared" si="195"/>
        <v>0</v>
      </c>
      <c r="R405" s="267" t="s">
        <v>30</v>
      </c>
      <c r="S405" s="266">
        <v>0</v>
      </c>
      <c r="T405" s="267">
        <f t="shared" si="196"/>
        <v>0</v>
      </c>
      <c r="U405" s="267">
        <f t="shared" si="197"/>
        <v>0</v>
      </c>
      <c r="V405" s="194"/>
      <c r="W405" s="268"/>
      <c r="X405" s="269"/>
      <c r="Y405" s="224"/>
      <c r="Z405" s="224"/>
      <c r="AA405" s="194"/>
      <c r="AB405" s="224"/>
      <c r="AC405" s="271"/>
      <c r="AD405" s="207">
        <f t="shared" si="172"/>
        <v>7</v>
      </c>
      <c r="AE405" s="209">
        <f t="shared" si="173"/>
        <v>-7</v>
      </c>
      <c r="AF405" s="197"/>
      <c r="AG405" s="197"/>
      <c r="AH405" s="202">
        <f t="shared" ref="AH405:AH468" si="198">L405-M405</f>
        <v>0</v>
      </c>
      <c r="AI405" s="210" t="e">
        <f>#REF!+5</f>
        <v>#REF!</v>
      </c>
      <c r="AJ405" s="197"/>
      <c r="AK405" s="211">
        <f t="shared" ref="AK405:AK468" si="199">Y405-I405</f>
        <v>0</v>
      </c>
      <c r="AL405" s="210">
        <f t="shared" si="194"/>
        <v>90</v>
      </c>
      <c r="AM405" s="197"/>
      <c r="AN405" s="194"/>
      <c r="AO405" s="194"/>
      <c r="AP405" s="194"/>
      <c r="AQ405" s="193"/>
      <c r="AR405" s="193"/>
      <c r="AS405" s="193"/>
      <c r="AT405" s="193"/>
      <c r="AU405" s="193"/>
      <c r="AV405" s="193"/>
      <c r="AW405" s="193"/>
      <c r="AX405" s="193"/>
      <c r="AY405" s="193"/>
      <c r="AZ405" s="193"/>
      <c r="BA405" s="193"/>
      <c r="BB405" s="193"/>
    </row>
    <row r="406" spans="1:54" s="250" customFormat="1" ht="24" customHeight="1">
      <c r="A406" s="197"/>
      <c r="B406" s="197"/>
      <c r="C406" s="194"/>
      <c r="D406" s="193"/>
      <c r="E406" s="194"/>
      <c r="F406" s="240"/>
      <c r="G406" s="194"/>
      <c r="H406" s="264"/>
      <c r="I406" s="285"/>
      <c r="J406" s="197"/>
      <c r="K406" s="197"/>
      <c r="L406" s="194"/>
      <c r="M406" s="194"/>
      <c r="N406" s="194"/>
      <c r="O406" s="193" t="s">
        <v>31</v>
      </c>
      <c r="P406" s="266"/>
      <c r="Q406" s="266">
        <f t="shared" si="195"/>
        <v>0</v>
      </c>
      <c r="R406" s="267" t="s">
        <v>30</v>
      </c>
      <c r="S406" s="266">
        <v>0</v>
      </c>
      <c r="T406" s="267">
        <f t="shared" si="196"/>
        <v>0</v>
      </c>
      <c r="U406" s="267">
        <f t="shared" si="197"/>
        <v>0</v>
      </c>
      <c r="V406" s="194"/>
      <c r="W406" s="268"/>
      <c r="X406" s="269"/>
      <c r="Y406" s="224"/>
      <c r="Z406" s="224"/>
      <c r="AA406" s="194"/>
      <c r="AB406" s="224"/>
      <c r="AC406" s="271"/>
      <c r="AD406" s="207">
        <f t="shared" si="172"/>
        <v>7</v>
      </c>
      <c r="AE406" s="209">
        <f t="shared" si="173"/>
        <v>-7</v>
      </c>
      <c r="AF406" s="197"/>
      <c r="AG406" s="197"/>
      <c r="AH406" s="202">
        <f t="shared" si="198"/>
        <v>0</v>
      </c>
      <c r="AI406" s="210" t="e">
        <f>#REF!+5</f>
        <v>#REF!</v>
      </c>
      <c r="AJ406" s="197"/>
      <c r="AK406" s="211">
        <f t="shared" si="199"/>
        <v>0</v>
      </c>
      <c r="AL406" s="210">
        <f t="shared" si="194"/>
        <v>90</v>
      </c>
      <c r="AM406" s="197"/>
      <c r="AN406" s="194"/>
      <c r="AO406" s="194"/>
      <c r="AP406" s="194"/>
      <c r="AQ406" s="193"/>
      <c r="AR406" s="193"/>
      <c r="AS406" s="193"/>
      <c r="AT406" s="193"/>
      <c r="AU406" s="193"/>
      <c r="AV406" s="193"/>
      <c r="AW406" s="193"/>
      <c r="AX406" s="193"/>
      <c r="AY406" s="193"/>
      <c r="AZ406" s="193"/>
      <c r="BA406" s="193"/>
      <c r="BB406" s="193"/>
    </row>
    <row r="407" spans="1:54" s="250" customFormat="1" ht="24" customHeight="1">
      <c r="A407" s="197"/>
      <c r="B407" s="197"/>
      <c r="C407" s="194"/>
      <c r="D407" s="193"/>
      <c r="E407" s="194"/>
      <c r="F407" s="240"/>
      <c r="G407" s="194"/>
      <c r="H407" s="264"/>
      <c r="I407" s="285"/>
      <c r="J407" s="197"/>
      <c r="K407" s="197"/>
      <c r="L407" s="194"/>
      <c r="M407" s="194"/>
      <c r="N407" s="194"/>
      <c r="O407" s="193" t="s">
        <v>31</v>
      </c>
      <c r="P407" s="266"/>
      <c r="Q407" s="266">
        <f t="shared" si="195"/>
        <v>0</v>
      </c>
      <c r="R407" s="267" t="s">
        <v>30</v>
      </c>
      <c r="S407" s="266">
        <v>0</v>
      </c>
      <c r="T407" s="267">
        <v>7.6</v>
      </c>
      <c r="U407" s="267">
        <f t="shared" si="197"/>
        <v>0</v>
      </c>
      <c r="V407" s="194"/>
      <c r="W407" s="268"/>
      <c r="X407" s="269"/>
      <c r="Y407" s="224"/>
      <c r="Z407" s="224"/>
      <c r="AA407" s="194"/>
      <c r="AB407" s="224"/>
      <c r="AC407" s="271"/>
      <c r="AD407" s="207">
        <f t="shared" si="172"/>
        <v>7</v>
      </c>
      <c r="AE407" s="209">
        <f t="shared" si="173"/>
        <v>-7</v>
      </c>
      <c r="AF407" s="197"/>
      <c r="AG407" s="197"/>
      <c r="AH407" s="202">
        <f t="shared" si="198"/>
        <v>0</v>
      </c>
      <c r="AI407" s="210" t="e">
        <f>#REF!+5</f>
        <v>#REF!</v>
      </c>
      <c r="AJ407" s="197"/>
      <c r="AK407" s="211">
        <f t="shared" si="199"/>
        <v>0</v>
      </c>
      <c r="AL407" s="210">
        <f t="shared" si="194"/>
        <v>90</v>
      </c>
      <c r="AM407" s="197"/>
      <c r="AN407" s="194"/>
      <c r="AO407" s="194"/>
      <c r="AP407" s="194"/>
      <c r="AQ407" s="193"/>
      <c r="AR407" s="193"/>
      <c r="AS407" s="193"/>
      <c r="AT407" s="193"/>
      <c r="AU407" s="193"/>
      <c r="AV407" s="193"/>
      <c r="AW407" s="193"/>
      <c r="AX407" s="193"/>
      <c r="AY407" s="193"/>
      <c r="AZ407" s="193"/>
      <c r="BA407" s="193"/>
      <c r="BB407" s="193"/>
    </row>
    <row r="408" spans="1:54" s="250" customFormat="1" ht="24" customHeight="1">
      <c r="A408" s="197"/>
      <c r="B408" s="197"/>
      <c r="C408" s="194"/>
      <c r="D408" s="193"/>
      <c r="E408" s="194"/>
      <c r="F408" s="240"/>
      <c r="G408" s="194"/>
      <c r="H408" s="264"/>
      <c r="I408" s="285"/>
      <c r="J408" s="197"/>
      <c r="K408" s="197"/>
      <c r="L408" s="194"/>
      <c r="M408" s="194"/>
      <c r="N408" s="194"/>
      <c r="O408" s="193" t="s">
        <v>31</v>
      </c>
      <c r="P408" s="266"/>
      <c r="Q408" s="266">
        <f t="shared" si="195"/>
        <v>0</v>
      </c>
      <c r="R408" s="267" t="s">
        <v>30</v>
      </c>
      <c r="S408" s="266">
        <v>0</v>
      </c>
      <c r="T408" s="267">
        <f t="shared" si="196"/>
        <v>0</v>
      </c>
      <c r="U408" s="267">
        <f t="shared" si="197"/>
        <v>0</v>
      </c>
      <c r="V408" s="194"/>
      <c r="W408" s="268"/>
      <c r="X408" s="269"/>
      <c r="Y408" s="224"/>
      <c r="Z408" s="224"/>
      <c r="AA408" s="194"/>
      <c r="AB408" s="224"/>
      <c r="AC408" s="271"/>
      <c r="AD408" s="207">
        <f t="shared" si="172"/>
        <v>7</v>
      </c>
      <c r="AE408" s="209">
        <f t="shared" si="173"/>
        <v>-7</v>
      </c>
      <c r="AF408" s="197"/>
      <c r="AG408" s="197"/>
      <c r="AH408" s="202">
        <f t="shared" si="198"/>
        <v>0</v>
      </c>
      <c r="AI408" s="210" t="e">
        <f>#REF!+5</f>
        <v>#REF!</v>
      </c>
      <c r="AJ408" s="197"/>
      <c r="AK408" s="211">
        <f t="shared" si="199"/>
        <v>0</v>
      </c>
      <c r="AL408" s="210">
        <f t="shared" si="194"/>
        <v>90</v>
      </c>
      <c r="AM408" s="197"/>
      <c r="AN408" s="194"/>
      <c r="AO408" s="194"/>
      <c r="AP408" s="194"/>
      <c r="AQ408" s="193"/>
      <c r="AR408" s="193"/>
      <c r="AS408" s="193"/>
      <c r="AT408" s="193"/>
      <c r="AU408" s="193"/>
      <c r="AV408" s="193"/>
      <c r="AW408" s="193"/>
      <c r="AX408" s="193"/>
      <c r="AY408" s="193"/>
      <c r="AZ408" s="193"/>
      <c r="BA408" s="193"/>
      <c r="BB408" s="193"/>
    </row>
    <row r="409" spans="1:54" s="250" customFormat="1" ht="24" customHeight="1">
      <c r="A409" s="197"/>
      <c r="B409" s="197"/>
      <c r="C409" s="194"/>
      <c r="D409" s="193"/>
      <c r="E409" s="194"/>
      <c r="F409" s="240"/>
      <c r="G409" s="194"/>
      <c r="H409" s="264"/>
      <c r="I409" s="285"/>
      <c r="J409" s="197"/>
      <c r="K409" s="197"/>
      <c r="L409" s="194"/>
      <c r="M409" s="194"/>
      <c r="N409" s="194"/>
      <c r="O409" s="193" t="s">
        <v>31</v>
      </c>
      <c r="P409" s="266"/>
      <c r="Q409" s="266">
        <f t="shared" si="195"/>
        <v>0</v>
      </c>
      <c r="R409" s="267" t="s">
        <v>30</v>
      </c>
      <c r="S409" s="266">
        <v>0</v>
      </c>
      <c r="T409" s="267">
        <f t="shared" si="196"/>
        <v>0</v>
      </c>
      <c r="U409" s="267">
        <f t="shared" si="197"/>
        <v>0</v>
      </c>
      <c r="V409" s="194"/>
      <c r="W409" s="268"/>
      <c r="X409" s="269"/>
      <c r="Y409" s="224"/>
      <c r="Z409" s="224"/>
      <c r="AA409" s="194"/>
      <c r="AB409" s="224"/>
      <c r="AC409" s="271"/>
      <c r="AD409" s="207">
        <f t="shared" si="172"/>
        <v>7</v>
      </c>
      <c r="AE409" s="209">
        <f t="shared" si="173"/>
        <v>-7</v>
      </c>
      <c r="AF409" s="197"/>
      <c r="AG409" s="197"/>
      <c r="AH409" s="202">
        <f t="shared" si="198"/>
        <v>0</v>
      </c>
      <c r="AI409" s="210" t="e">
        <f>#REF!+5</f>
        <v>#REF!</v>
      </c>
      <c r="AJ409" s="197"/>
      <c r="AK409" s="211">
        <f t="shared" si="199"/>
        <v>0</v>
      </c>
      <c r="AL409" s="210">
        <f t="shared" si="194"/>
        <v>90</v>
      </c>
      <c r="AM409" s="197"/>
      <c r="AN409" s="194"/>
      <c r="AO409" s="194"/>
      <c r="AP409" s="194"/>
      <c r="AQ409" s="193"/>
      <c r="AR409" s="193"/>
      <c r="AS409" s="193"/>
      <c r="AT409" s="193"/>
      <c r="AU409" s="193"/>
      <c r="AV409" s="193"/>
      <c r="AW409" s="193"/>
      <c r="AX409" s="193"/>
      <c r="AY409" s="193"/>
      <c r="AZ409" s="193"/>
      <c r="BA409" s="193"/>
      <c r="BB409" s="193"/>
    </row>
    <row r="410" spans="1:54" s="250" customFormat="1" ht="24" customHeight="1">
      <c r="A410" s="197"/>
      <c r="B410" s="197"/>
      <c r="C410" s="194"/>
      <c r="D410" s="193"/>
      <c r="E410" s="194"/>
      <c r="F410" s="240"/>
      <c r="G410" s="194"/>
      <c r="H410" s="264"/>
      <c r="I410" s="285"/>
      <c r="J410" s="197"/>
      <c r="K410" s="197"/>
      <c r="L410" s="194"/>
      <c r="M410" s="194"/>
      <c r="N410" s="194"/>
      <c r="O410" s="193" t="s">
        <v>31</v>
      </c>
      <c r="P410" s="266"/>
      <c r="Q410" s="266">
        <f t="shared" si="195"/>
        <v>0</v>
      </c>
      <c r="R410" s="267" t="s">
        <v>30</v>
      </c>
      <c r="S410" s="266">
        <v>0</v>
      </c>
      <c r="T410" s="267">
        <f t="shared" si="196"/>
        <v>0</v>
      </c>
      <c r="U410" s="267">
        <f t="shared" si="197"/>
        <v>0</v>
      </c>
      <c r="V410" s="194"/>
      <c r="W410" s="268"/>
      <c r="X410" s="269"/>
      <c r="Y410" s="207"/>
      <c r="Z410" s="207"/>
      <c r="AA410" s="208"/>
      <c r="AB410" s="206"/>
      <c r="AC410" s="206"/>
      <c r="AD410" s="207">
        <f t="shared" si="172"/>
        <v>7</v>
      </c>
      <c r="AE410" s="209">
        <f t="shared" si="173"/>
        <v>-7</v>
      </c>
      <c r="AF410" s="197"/>
      <c r="AG410" s="197"/>
      <c r="AH410" s="202">
        <f t="shared" si="198"/>
        <v>0</v>
      </c>
      <c r="AI410" s="210" t="e">
        <f>#REF!+5</f>
        <v>#REF!</v>
      </c>
      <c r="AJ410" s="197"/>
      <c r="AK410" s="211">
        <f t="shared" si="199"/>
        <v>0</v>
      </c>
      <c r="AL410" s="210">
        <f t="shared" si="194"/>
        <v>90</v>
      </c>
      <c r="AM410" s="197"/>
      <c r="AN410" s="194"/>
      <c r="AO410" s="194"/>
      <c r="AP410" s="194"/>
      <c r="AQ410" s="193"/>
      <c r="AR410" s="193"/>
      <c r="AS410" s="193"/>
      <c r="AT410" s="193"/>
      <c r="AU410" s="193"/>
      <c r="AV410" s="193"/>
      <c r="AW410" s="193"/>
      <c r="AX410" s="193"/>
      <c r="AY410" s="193"/>
      <c r="AZ410" s="193"/>
      <c r="BA410" s="193"/>
      <c r="BB410" s="193"/>
    </row>
    <row r="411" spans="1:54" s="250" customFormat="1" ht="24" customHeight="1">
      <c r="A411" s="197"/>
      <c r="B411" s="197"/>
      <c r="C411" s="194"/>
      <c r="D411" s="193"/>
      <c r="E411" s="194"/>
      <c r="F411" s="259"/>
      <c r="G411" s="194"/>
      <c r="H411" s="264"/>
      <c r="I411" s="285"/>
      <c r="J411" s="197"/>
      <c r="K411" s="197"/>
      <c r="L411" s="194"/>
      <c r="M411" s="194"/>
      <c r="N411" s="194"/>
      <c r="O411" s="193" t="s">
        <v>31</v>
      </c>
      <c r="P411" s="266"/>
      <c r="Q411" s="266">
        <f t="shared" si="195"/>
        <v>0</v>
      </c>
      <c r="R411" s="267" t="s">
        <v>30</v>
      </c>
      <c r="S411" s="266">
        <v>0</v>
      </c>
      <c r="T411" s="267">
        <f t="shared" si="196"/>
        <v>0</v>
      </c>
      <c r="U411" s="267">
        <f t="shared" si="197"/>
        <v>0</v>
      </c>
      <c r="V411" s="194"/>
      <c r="W411" s="268"/>
      <c r="X411" s="269"/>
      <c r="Y411" s="207"/>
      <c r="Z411" s="207"/>
      <c r="AA411" s="208"/>
      <c r="AB411" s="206"/>
      <c r="AC411" s="206"/>
      <c r="AD411" s="207">
        <f t="shared" si="172"/>
        <v>7</v>
      </c>
      <c r="AE411" s="209">
        <f t="shared" si="173"/>
        <v>-7</v>
      </c>
      <c r="AF411" s="197"/>
      <c r="AG411" s="197"/>
      <c r="AH411" s="202">
        <f t="shared" si="198"/>
        <v>0</v>
      </c>
      <c r="AI411" s="210" t="e">
        <f>#REF!+5</f>
        <v>#REF!</v>
      </c>
      <c r="AJ411" s="197"/>
      <c r="AK411" s="211">
        <f t="shared" si="199"/>
        <v>0</v>
      </c>
      <c r="AL411" s="210">
        <f t="shared" si="194"/>
        <v>90</v>
      </c>
      <c r="AM411" s="197"/>
      <c r="AN411" s="194"/>
      <c r="AO411" s="194"/>
      <c r="AP411" s="194"/>
      <c r="AQ411" s="193"/>
      <c r="AR411" s="193"/>
      <c r="AS411" s="193"/>
      <c r="AT411" s="193"/>
      <c r="AU411" s="193"/>
      <c r="AV411" s="193"/>
      <c r="AW411" s="193"/>
      <c r="AX411" s="193"/>
      <c r="AY411" s="193"/>
      <c r="AZ411" s="193"/>
      <c r="BA411" s="193"/>
      <c r="BB411" s="193"/>
    </row>
    <row r="412" spans="1:54" s="250" customFormat="1" ht="24" customHeight="1">
      <c r="A412" s="197"/>
      <c r="B412" s="197"/>
      <c r="C412" s="194"/>
      <c r="D412" s="193"/>
      <c r="E412" s="194"/>
      <c r="F412" s="259"/>
      <c r="G412" s="194"/>
      <c r="H412" s="264"/>
      <c r="I412" s="285"/>
      <c r="J412" s="197"/>
      <c r="K412" s="197"/>
      <c r="L412" s="194"/>
      <c r="M412" s="194"/>
      <c r="N412" s="194"/>
      <c r="O412" s="193" t="s">
        <v>31</v>
      </c>
      <c r="P412" s="266"/>
      <c r="Q412" s="266">
        <f t="shared" si="195"/>
        <v>0</v>
      </c>
      <c r="R412" s="267" t="s">
        <v>30</v>
      </c>
      <c r="S412" s="266">
        <v>0</v>
      </c>
      <c r="T412" s="267">
        <f t="shared" si="196"/>
        <v>0</v>
      </c>
      <c r="U412" s="267">
        <f t="shared" si="197"/>
        <v>0</v>
      </c>
      <c r="V412" s="194"/>
      <c r="W412" s="268"/>
      <c r="X412" s="269"/>
      <c r="Y412" s="207"/>
      <c r="Z412" s="207"/>
      <c r="AA412" s="208"/>
      <c r="AB412" s="206"/>
      <c r="AC412" s="206"/>
      <c r="AD412" s="207">
        <f t="shared" si="172"/>
        <v>7</v>
      </c>
      <c r="AE412" s="209">
        <f t="shared" si="173"/>
        <v>-7</v>
      </c>
      <c r="AF412" s="197"/>
      <c r="AG412" s="197"/>
      <c r="AH412" s="202">
        <f t="shared" si="198"/>
        <v>0</v>
      </c>
      <c r="AI412" s="210" t="e">
        <f>#REF!+5</f>
        <v>#REF!</v>
      </c>
      <c r="AJ412" s="197"/>
      <c r="AK412" s="211">
        <f t="shared" si="199"/>
        <v>0</v>
      </c>
      <c r="AL412" s="210">
        <f t="shared" si="194"/>
        <v>90</v>
      </c>
      <c r="AM412" s="197"/>
      <c r="AN412" s="194"/>
      <c r="AO412" s="194"/>
      <c r="AP412" s="194"/>
      <c r="AQ412" s="193"/>
      <c r="AR412" s="193"/>
      <c r="AS412" s="193"/>
      <c r="AT412" s="193"/>
      <c r="AU412" s="193"/>
      <c r="AV412" s="193"/>
      <c r="AW412" s="193"/>
      <c r="AX412" s="193"/>
      <c r="AY412" s="193"/>
      <c r="AZ412" s="193"/>
      <c r="BA412" s="193"/>
      <c r="BB412" s="193"/>
    </row>
    <row r="413" spans="1:54" s="250" customFormat="1" ht="24" customHeight="1">
      <c r="A413" s="197"/>
      <c r="B413" s="197"/>
      <c r="C413" s="194"/>
      <c r="D413" s="193"/>
      <c r="E413" s="194"/>
      <c r="F413" s="259"/>
      <c r="G413" s="194"/>
      <c r="H413" s="264"/>
      <c r="I413" s="285"/>
      <c r="J413" s="197"/>
      <c r="K413" s="197"/>
      <c r="L413" s="194"/>
      <c r="M413" s="194"/>
      <c r="N413" s="194"/>
      <c r="O413" s="193" t="s">
        <v>31</v>
      </c>
      <c r="P413" s="266"/>
      <c r="Q413" s="266">
        <f t="shared" si="195"/>
        <v>0</v>
      </c>
      <c r="R413" s="267" t="s">
        <v>30</v>
      </c>
      <c r="S413" s="266">
        <v>0</v>
      </c>
      <c r="T413" s="267">
        <f t="shared" si="196"/>
        <v>0</v>
      </c>
      <c r="U413" s="267">
        <f t="shared" si="197"/>
        <v>0</v>
      </c>
      <c r="V413" s="194"/>
      <c r="W413" s="268"/>
      <c r="X413" s="269"/>
      <c r="Y413" s="207"/>
      <c r="Z413" s="207"/>
      <c r="AA413" s="208"/>
      <c r="AB413" s="206"/>
      <c r="AC413" s="206"/>
      <c r="AD413" s="207">
        <f t="shared" si="172"/>
        <v>7</v>
      </c>
      <c r="AE413" s="209">
        <f t="shared" si="173"/>
        <v>-7</v>
      </c>
      <c r="AF413" s="197"/>
      <c r="AG413" s="197"/>
      <c r="AH413" s="202">
        <f t="shared" si="198"/>
        <v>0</v>
      </c>
      <c r="AI413" s="210" t="e">
        <f>#REF!+5</f>
        <v>#REF!</v>
      </c>
      <c r="AJ413" s="197"/>
      <c r="AK413" s="211">
        <f t="shared" si="199"/>
        <v>0</v>
      </c>
      <c r="AL413" s="210">
        <f t="shared" si="194"/>
        <v>90</v>
      </c>
      <c r="AM413" s="197"/>
      <c r="AN413" s="194"/>
      <c r="AO413" s="194"/>
      <c r="AP413" s="194"/>
      <c r="AQ413" s="193"/>
      <c r="AR413" s="193"/>
      <c r="AS413" s="193"/>
      <c r="AT413" s="193"/>
      <c r="AU413" s="193"/>
      <c r="AV413" s="193"/>
      <c r="AW413" s="193"/>
      <c r="AX413" s="193"/>
      <c r="AY413" s="193"/>
      <c r="AZ413" s="193"/>
      <c r="BA413" s="193"/>
      <c r="BB413" s="193"/>
    </row>
    <row r="414" spans="1:54" s="250" customFormat="1" ht="24" customHeight="1">
      <c r="A414" s="197"/>
      <c r="B414" s="197"/>
      <c r="C414" s="194"/>
      <c r="D414" s="193"/>
      <c r="E414" s="194"/>
      <c r="F414" s="259"/>
      <c r="G414" s="194"/>
      <c r="H414" s="264"/>
      <c r="I414" s="285"/>
      <c r="J414" s="197"/>
      <c r="K414" s="197"/>
      <c r="L414" s="194"/>
      <c r="M414" s="194"/>
      <c r="N414" s="194"/>
      <c r="O414" s="193" t="s">
        <v>31</v>
      </c>
      <c r="P414" s="266"/>
      <c r="Q414" s="266">
        <f t="shared" si="195"/>
        <v>0</v>
      </c>
      <c r="R414" s="267" t="s">
        <v>30</v>
      </c>
      <c r="S414" s="266">
        <v>0</v>
      </c>
      <c r="T414" s="267">
        <f t="shared" si="196"/>
        <v>0</v>
      </c>
      <c r="U414" s="267">
        <f t="shared" si="197"/>
        <v>0</v>
      </c>
      <c r="V414" s="194"/>
      <c r="W414" s="268"/>
      <c r="X414" s="269"/>
      <c r="Y414" s="207"/>
      <c r="Z414" s="207"/>
      <c r="AA414" s="208"/>
      <c r="AB414" s="206"/>
      <c r="AC414" s="206"/>
      <c r="AD414" s="207">
        <f t="shared" si="172"/>
        <v>7</v>
      </c>
      <c r="AE414" s="209">
        <f t="shared" si="173"/>
        <v>-7</v>
      </c>
      <c r="AF414" s="197"/>
      <c r="AG414" s="197"/>
      <c r="AH414" s="202">
        <f t="shared" si="198"/>
        <v>0</v>
      </c>
      <c r="AI414" s="210" t="e">
        <f>#REF!+5</f>
        <v>#REF!</v>
      </c>
      <c r="AJ414" s="197"/>
      <c r="AK414" s="211">
        <f t="shared" si="199"/>
        <v>0</v>
      </c>
      <c r="AL414" s="210">
        <f t="shared" si="194"/>
        <v>90</v>
      </c>
      <c r="AM414" s="197"/>
      <c r="AN414" s="194"/>
      <c r="AO414" s="194"/>
      <c r="AP414" s="194"/>
      <c r="AQ414" s="193"/>
      <c r="AR414" s="193"/>
      <c r="AS414" s="193"/>
      <c r="AT414" s="193"/>
      <c r="AU414" s="193"/>
      <c r="AV414" s="193"/>
      <c r="AW414" s="193"/>
      <c r="AX414" s="193"/>
      <c r="AY414" s="193"/>
      <c r="AZ414" s="193"/>
      <c r="BA414" s="193"/>
      <c r="BB414" s="193"/>
    </row>
    <row r="415" spans="1:54" s="250" customFormat="1" ht="24" customHeight="1">
      <c r="A415" s="197"/>
      <c r="B415" s="197"/>
      <c r="C415" s="194"/>
      <c r="D415" s="193"/>
      <c r="E415" s="194"/>
      <c r="F415" s="259"/>
      <c r="G415" s="194"/>
      <c r="H415" s="264"/>
      <c r="I415" s="285"/>
      <c r="J415" s="197"/>
      <c r="K415" s="197"/>
      <c r="L415" s="194"/>
      <c r="M415" s="194"/>
      <c r="N415" s="194"/>
      <c r="O415" s="193" t="s">
        <v>31</v>
      </c>
      <c r="P415" s="266"/>
      <c r="Q415" s="266">
        <f t="shared" si="195"/>
        <v>0</v>
      </c>
      <c r="R415" s="267" t="s">
        <v>30</v>
      </c>
      <c r="S415" s="266">
        <v>0</v>
      </c>
      <c r="T415" s="267">
        <f t="shared" si="196"/>
        <v>0</v>
      </c>
      <c r="U415" s="267">
        <f t="shared" si="197"/>
        <v>0</v>
      </c>
      <c r="V415" s="194"/>
      <c r="W415" s="268"/>
      <c r="X415" s="269"/>
      <c r="Y415" s="207"/>
      <c r="Z415" s="207"/>
      <c r="AA415" s="208"/>
      <c r="AB415" s="206"/>
      <c r="AC415" s="206"/>
      <c r="AD415" s="207">
        <f t="shared" si="172"/>
        <v>7</v>
      </c>
      <c r="AE415" s="209">
        <f t="shared" si="173"/>
        <v>-7</v>
      </c>
      <c r="AF415" s="197"/>
      <c r="AG415" s="197"/>
      <c r="AH415" s="202">
        <f t="shared" si="198"/>
        <v>0</v>
      </c>
      <c r="AI415" s="210" t="e">
        <f>#REF!+5</f>
        <v>#REF!</v>
      </c>
      <c r="AJ415" s="197"/>
      <c r="AK415" s="211">
        <f t="shared" si="199"/>
        <v>0</v>
      </c>
      <c r="AL415" s="210">
        <f t="shared" si="194"/>
        <v>90</v>
      </c>
      <c r="AM415" s="197"/>
      <c r="AN415" s="194"/>
      <c r="AO415" s="194"/>
      <c r="AP415" s="194"/>
      <c r="AQ415" s="193"/>
      <c r="AR415" s="193"/>
      <c r="AS415" s="193"/>
      <c r="AT415" s="193"/>
      <c r="AU415" s="193"/>
      <c r="AV415" s="193"/>
      <c r="AW415" s="193"/>
      <c r="AX415" s="193"/>
      <c r="AY415" s="193"/>
      <c r="AZ415" s="193"/>
      <c r="BA415" s="193"/>
      <c r="BB415" s="193"/>
    </row>
    <row r="416" spans="1:54" s="250" customFormat="1" ht="24" customHeight="1">
      <c r="A416" s="197"/>
      <c r="B416" s="197"/>
      <c r="C416" s="194"/>
      <c r="D416" s="193"/>
      <c r="E416" s="194"/>
      <c r="F416" s="259"/>
      <c r="G416" s="194"/>
      <c r="H416" s="264"/>
      <c r="I416" s="285"/>
      <c r="J416" s="197"/>
      <c r="K416" s="197"/>
      <c r="L416" s="194"/>
      <c r="M416" s="194"/>
      <c r="N416" s="194"/>
      <c r="O416" s="193" t="s">
        <v>31</v>
      </c>
      <c r="P416" s="266"/>
      <c r="Q416" s="266">
        <f t="shared" si="195"/>
        <v>0</v>
      </c>
      <c r="R416" s="267" t="s">
        <v>30</v>
      </c>
      <c r="S416" s="266">
        <v>0</v>
      </c>
      <c r="T416" s="267">
        <f t="shared" si="196"/>
        <v>0</v>
      </c>
      <c r="U416" s="267">
        <f t="shared" si="197"/>
        <v>0</v>
      </c>
      <c r="V416" s="194"/>
      <c r="W416" s="268"/>
      <c r="X416" s="269"/>
      <c r="Y416" s="207"/>
      <c r="Z416" s="207"/>
      <c r="AA416" s="208"/>
      <c r="AB416" s="206"/>
      <c r="AC416" s="206"/>
      <c r="AD416" s="207">
        <f t="shared" si="172"/>
        <v>7</v>
      </c>
      <c r="AE416" s="209">
        <f t="shared" si="173"/>
        <v>-7</v>
      </c>
      <c r="AF416" s="197"/>
      <c r="AG416" s="197"/>
      <c r="AH416" s="202">
        <f t="shared" si="198"/>
        <v>0</v>
      </c>
      <c r="AI416" s="210" t="e">
        <f>#REF!+5</f>
        <v>#REF!</v>
      </c>
      <c r="AJ416" s="197"/>
      <c r="AK416" s="211">
        <f t="shared" si="199"/>
        <v>0</v>
      </c>
      <c r="AL416" s="210">
        <f t="shared" si="194"/>
        <v>90</v>
      </c>
      <c r="AM416" s="197"/>
      <c r="AN416" s="194"/>
      <c r="AO416" s="194"/>
      <c r="AP416" s="194"/>
      <c r="AQ416" s="193"/>
      <c r="AR416" s="193"/>
      <c r="AS416" s="193"/>
      <c r="AT416" s="193"/>
      <c r="AU416" s="193"/>
      <c r="AV416" s="193"/>
      <c r="AW416" s="193"/>
      <c r="AX416" s="193"/>
      <c r="AY416" s="193"/>
      <c r="AZ416" s="193"/>
      <c r="BA416" s="193"/>
      <c r="BB416" s="193"/>
    </row>
    <row r="417" spans="1:54" s="250" customFormat="1" ht="24" customHeight="1">
      <c r="A417" s="197"/>
      <c r="B417" s="197"/>
      <c r="C417" s="194"/>
      <c r="D417" s="193"/>
      <c r="E417" s="194"/>
      <c r="F417" s="259"/>
      <c r="G417" s="194"/>
      <c r="H417" s="264"/>
      <c r="I417" s="285"/>
      <c r="J417" s="197"/>
      <c r="K417" s="197"/>
      <c r="L417" s="194"/>
      <c r="M417" s="194"/>
      <c r="N417" s="194"/>
      <c r="O417" s="193" t="s">
        <v>31</v>
      </c>
      <c r="P417" s="266"/>
      <c r="Q417" s="266">
        <f t="shared" si="195"/>
        <v>0</v>
      </c>
      <c r="R417" s="267" t="s">
        <v>30</v>
      </c>
      <c r="S417" s="266">
        <v>0</v>
      </c>
      <c r="T417" s="267">
        <f t="shared" si="196"/>
        <v>0</v>
      </c>
      <c r="U417" s="267">
        <f t="shared" si="197"/>
        <v>0</v>
      </c>
      <c r="V417" s="194"/>
      <c r="W417" s="268"/>
      <c r="X417" s="269"/>
      <c r="Y417" s="207"/>
      <c r="Z417" s="207"/>
      <c r="AA417" s="208"/>
      <c r="AB417" s="206"/>
      <c r="AC417" s="206"/>
      <c r="AD417" s="207">
        <f t="shared" si="172"/>
        <v>7</v>
      </c>
      <c r="AE417" s="209">
        <f t="shared" si="173"/>
        <v>-7</v>
      </c>
      <c r="AF417" s="197"/>
      <c r="AG417" s="197"/>
      <c r="AH417" s="202">
        <f t="shared" si="198"/>
        <v>0</v>
      </c>
      <c r="AI417" s="210" t="e">
        <f>#REF!+5</f>
        <v>#REF!</v>
      </c>
      <c r="AJ417" s="197"/>
      <c r="AK417" s="211">
        <f t="shared" si="199"/>
        <v>0</v>
      </c>
      <c r="AL417" s="210">
        <f t="shared" si="194"/>
        <v>90</v>
      </c>
      <c r="AM417" s="197"/>
      <c r="AN417" s="194"/>
      <c r="AO417" s="194"/>
      <c r="AP417" s="194"/>
      <c r="AQ417" s="193"/>
      <c r="AR417" s="193"/>
      <c r="AS417" s="193"/>
      <c r="AT417" s="193"/>
      <c r="AU417" s="193"/>
      <c r="AV417" s="193"/>
      <c r="AW417" s="193"/>
      <c r="AX417" s="193"/>
      <c r="AY417" s="193"/>
      <c r="AZ417" s="193"/>
      <c r="BA417" s="193"/>
      <c r="BB417" s="193"/>
    </row>
    <row r="418" spans="1:54" s="250" customFormat="1" ht="24" customHeight="1">
      <c r="A418" s="197"/>
      <c r="B418" s="197"/>
      <c r="C418" s="194"/>
      <c r="D418" s="193"/>
      <c r="E418" s="194"/>
      <c r="F418" s="240"/>
      <c r="G418" s="194"/>
      <c r="H418" s="264"/>
      <c r="I418" s="285"/>
      <c r="J418" s="197"/>
      <c r="K418" s="197"/>
      <c r="L418" s="194"/>
      <c r="M418" s="194"/>
      <c r="N418" s="194"/>
      <c r="O418" s="193" t="s">
        <v>31</v>
      </c>
      <c r="P418" s="266"/>
      <c r="Q418" s="266">
        <f t="shared" si="195"/>
        <v>0</v>
      </c>
      <c r="R418" s="267" t="s">
        <v>30</v>
      </c>
      <c r="S418" s="266">
        <v>0</v>
      </c>
      <c r="T418" s="267">
        <f t="shared" si="196"/>
        <v>0</v>
      </c>
      <c r="U418" s="267">
        <f t="shared" si="197"/>
        <v>0</v>
      </c>
      <c r="V418" s="194"/>
      <c r="W418" s="268"/>
      <c r="X418" s="269"/>
      <c r="Y418" s="207"/>
      <c r="Z418" s="207"/>
      <c r="AA418" s="208"/>
      <c r="AB418" s="206"/>
      <c r="AC418" s="206"/>
      <c r="AD418" s="207">
        <f t="shared" si="172"/>
        <v>7</v>
      </c>
      <c r="AE418" s="209">
        <f t="shared" si="173"/>
        <v>-7</v>
      </c>
      <c r="AF418" s="197"/>
      <c r="AG418" s="197"/>
      <c r="AH418" s="202">
        <f t="shared" si="198"/>
        <v>0</v>
      </c>
      <c r="AI418" s="210" t="e">
        <f>#REF!+5</f>
        <v>#REF!</v>
      </c>
      <c r="AJ418" s="197"/>
      <c r="AK418" s="211">
        <f t="shared" si="199"/>
        <v>0</v>
      </c>
      <c r="AL418" s="210">
        <f t="shared" si="194"/>
        <v>90</v>
      </c>
      <c r="AM418" s="197"/>
      <c r="AN418" s="194"/>
      <c r="AO418" s="194"/>
      <c r="AP418" s="194"/>
      <c r="AQ418" s="193"/>
      <c r="AR418" s="193"/>
      <c r="AS418" s="193"/>
      <c r="AT418" s="193"/>
      <c r="AU418" s="193"/>
      <c r="AV418" s="193"/>
      <c r="AW418" s="193"/>
      <c r="AX418" s="193"/>
      <c r="AY418" s="193"/>
      <c r="AZ418" s="193"/>
      <c r="BA418" s="193"/>
      <c r="BB418" s="193"/>
    </row>
    <row r="419" spans="1:54" s="250" customFormat="1" ht="24" customHeight="1">
      <c r="A419" s="197"/>
      <c r="B419" s="197"/>
      <c r="C419" s="194"/>
      <c r="D419" s="193"/>
      <c r="E419" s="194"/>
      <c r="F419" s="240"/>
      <c r="G419" s="194"/>
      <c r="H419" s="264"/>
      <c r="I419" s="285"/>
      <c r="J419" s="197"/>
      <c r="K419" s="197"/>
      <c r="L419" s="194"/>
      <c r="M419" s="194"/>
      <c r="N419" s="194"/>
      <c r="O419" s="193" t="s">
        <v>31</v>
      </c>
      <c r="P419" s="266"/>
      <c r="Q419" s="266">
        <f t="shared" si="195"/>
        <v>0</v>
      </c>
      <c r="R419" s="267" t="s">
        <v>30</v>
      </c>
      <c r="S419" s="266">
        <v>0</v>
      </c>
      <c r="T419" s="267">
        <f t="shared" si="196"/>
        <v>0</v>
      </c>
      <c r="U419" s="267">
        <f t="shared" si="197"/>
        <v>0</v>
      </c>
      <c r="V419" s="194"/>
      <c r="W419" s="268"/>
      <c r="X419" s="269"/>
      <c r="Y419" s="207"/>
      <c r="Z419" s="207"/>
      <c r="AA419" s="208"/>
      <c r="AB419" s="206"/>
      <c r="AC419" s="206"/>
      <c r="AD419" s="207">
        <f t="shared" si="172"/>
        <v>7</v>
      </c>
      <c r="AE419" s="209">
        <f t="shared" si="173"/>
        <v>-7</v>
      </c>
      <c r="AF419" s="197"/>
      <c r="AG419" s="197"/>
      <c r="AH419" s="202">
        <f t="shared" si="198"/>
        <v>0</v>
      </c>
      <c r="AI419" s="210" t="e">
        <f>#REF!+5</f>
        <v>#REF!</v>
      </c>
      <c r="AJ419" s="197"/>
      <c r="AK419" s="211">
        <f t="shared" si="199"/>
        <v>0</v>
      </c>
      <c r="AL419" s="210">
        <f t="shared" si="194"/>
        <v>90</v>
      </c>
      <c r="AM419" s="197"/>
      <c r="AN419" s="194"/>
      <c r="AO419" s="194"/>
      <c r="AP419" s="194"/>
      <c r="AQ419" s="193"/>
      <c r="AR419" s="193"/>
      <c r="AS419" s="193"/>
      <c r="AT419" s="193"/>
      <c r="AU419" s="193"/>
      <c r="AV419" s="193"/>
      <c r="AW419" s="193"/>
      <c r="AX419" s="193"/>
      <c r="AY419" s="193"/>
      <c r="AZ419" s="193"/>
      <c r="BA419" s="193"/>
      <c r="BB419" s="193"/>
    </row>
    <row r="420" spans="1:54" s="250" customFormat="1" ht="24" customHeight="1">
      <c r="A420" s="197"/>
      <c r="B420" s="197"/>
      <c r="C420" s="194"/>
      <c r="D420" s="193"/>
      <c r="E420" s="194"/>
      <c r="F420" s="240"/>
      <c r="G420" s="194"/>
      <c r="H420" s="264"/>
      <c r="I420" s="285"/>
      <c r="J420" s="197"/>
      <c r="K420" s="197"/>
      <c r="L420" s="194"/>
      <c r="M420" s="194"/>
      <c r="N420" s="194"/>
      <c r="O420" s="193" t="s">
        <v>31</v>
      </c>
      <c r="P420" s="266"/>
      <c r="Q420" s="266">
        <f t="shared" si="195"/>
        <v>0</v>
      </c>
      <c r="R420" s="267" t="s">
        <v>30</v>
      </c>
      <c r="S420" s="266">
        <v>0</v>
      </c>
      <c r="T420" s="267">
        <f t="shared" si="196"/>
        <v>0</v>
      </c>
      <c r="U420" s="267">
        <f t="shared" si="197"/>
        <v>0</v>
      </c>
      <c r="V420" s="194"/>
      <c r="W420" s="268"/>
      <c r="X420" s="269"/>
      <c r="Y420" s="207"/>
      <c r="Z420" s="207"/>
      <c r="AA420" s="208"/>
      <c r="AB420" s="206"/>
      <c r="AC420" s="206"/>
      <c r="AD420" s="207">
        <f t="shared" si="172"/>
        <v>7</v>
      </c>
      <c r="AE420" s="209">
        <f t="shared" si="173"/>
        <v>-7</v>
      </c>
      <c r="AF420" s="197"/>
      <c r="AG420" s="197"/>
      <c r="AH420" s="202">
        <f t="shared" si="198"/>
        <v>0</v>
      </c>
      <c r="AI420" s="210" t="e">
        <f>#REF!+5</f>
        <v>#REF!</v>
      </c>
      <c r="AJ420" s="197"/>
      <c r="AK420" s="211">
        <f t="shared" si="199"/>
        <v>0</v>
      </c>
      <c r="AL420" s="210">
        <f t="shared" si="194"/>
        <v>90</v>
      </c>
      <c r="AM420" s="197"/>
      <c r="AN420" s="194"/>
      <c r="AO420" s="194"/>
      <c r="AP420" s="194"/>
      <c r="AQ420" s="193"/>
      <c r="AR420" s="193"/>
      <c r="AS420" s="193"/>
      <c r="AT420" s="193"/>
      <c r="AU420" s="193"/>
      <c r="AV420" s="193"/>
      <c r="AW420" s="193"/>
      <c r="AX420" s="193"/>
      <c r="AY420" s="193"/>
      <c r="AZ420" s="193"/>
      <c r="BA420" s="193"/>
      <c r="BB420" s="193"/>
    </row>
    <row r="421" spans="1:54" s="250" customFormat="1" ht="24" customHeight="1">
      <c r="A421" s="197"/>
      <c r="B421" s="197"/>
      <c r="C421" s="194"/>
      <c r="D421" s="193"/>
      <c r="E421" s="194"/>
      <c r="F421" s="240"/>
      <c r="G421" s="194"/>
      <c r="H421" s="264"/>
      <c r="I421" s="285"/>
      <c r="J421" s="197"/>
      <c r="K421" s="197"/>
      <c r="L421" s="194"/>
      <c r="M421" s="194"/>
      <c r="N421" s="194"/>
      <c r="O421" s="193" t="s">
        <v>31</v>
      </c>
      <c r="P421" s="266"/>
      <c r="Q421" s="266">
        <f t="shared" si="195"/>
        <v>0</v>
      </c>
      <c r="R421" s="267" t="s">
        <v>30</v>
      </c>
      <c r="S421" s="266">
        <v>0</v>
      </c>
      <c r="T421" s="267">
        <f t="shared" si="196"/>
        <v>0</v>
      </c>
      <c r="U421" s="267">
        <f t="shared" si="197"/>
        <v>0</v>
      </c>
      <c r="V421" s="194"/>
      <c r="W421" s="268"/>
      <c r="X421" s="269"/>
      <c r="Y421" s="207"/>
      <c r="Z421" s="207"/>
      <c r="AA421" s="208"/>
      <c r="AB421" s="206"/>
      <c r="AC421" s="206"/>
      <c r="AD421" s="207">
        <f t="shared" si="172"/>
        <v>7</v>
      </c>
      <c r="AE421" s="209">
        <f t="shared" si="173"/>
        <v>-7</v>
      </c>
      <c r="AF421" s="197"/>
      <c r="AG421" s="197"/>
      <c r="AH421" s="202">
        <f t="shared" si="198"/>
        <v>0</v>
      </c>
      <c r="AI421" s="210" t="e">
        <f>#REF!+5</f>
        <v>#REF!</v>
      </c>
      <c r="AJ421" s="197"/>
      <c r="AK421" s="211">
        <f t="shared" si="199"/>
        <v>0</v>
      </c>
      <c r="AL421" s="210">
        <f t="shared" si="194"/>
        <v>90</v>
      </c>
      <c r="AM421" s="197"/>
      <c r="AN421" s="194"/>
      <c r="AO421" s="194"/>
      <c r="AP421" s="194"/>
      <c r="AQ421" s="193"/>
      <c r="AR421" s="193"/>
      <c r="AS421" s="193"/>
      <c r="AT421" s="193"/>
      <c r="AU421" s="193"/>
      <c r="AV421" s="193"/>
      <c r="AW421" s="193"/>
      <c r="AX421" s="193"/>
      <c r="AY421" s="193"/>
      <c r="AZ421" s="193"/>
      <c r="BA421" s="193"/>
      <c r="BB421" s="193"/>
    </row>
    <row r="422" spans="1:54" s="250" customFormat="1" ht="24" customHeight="1">
      <c r="A422" s="197"/>
      <c r="B422" s="197"/>
      <c r="C422" s="194"/>
      <c r="D422" s="193"/>
      <c r="E422" s="194"/>
      <c r="F422" s="240"/>
      <c r="G422" s="194"/>
      <c r="H422" s="264"/>
      <c r="I422" s="285"/>
      <c r="J422" s="197"/>
      <c r="K422" s="197"/>
      <c r="L422" s="194"/>
      <c r="M422" s="194"/>
      <c r="N422" s="194"/>
      <c r="O422" s="193" t="s">
        <v>31</v>
      </c>
      <c r="P422" s="266"/>
      <c r="Q422" s="266">
        <f t="shared" si="195"/>
        <v>0</v>
      </c>
      <c r="R422" s="267" t="s">
        <v>30</v>
      </c>
      <c r="S422" s="266">
        <v>0</v>
      </c>
      <c r="T422" s="267">
        <f t="shared" si="196"/>
        <v>0</v>
      </c>
      <c r="U422" s="267">
        <f t="shared" si="197"/>
        <v>0</v>
      </c>
      <c r="V422" s="194"/>
      <c r="W422" s="268"/>
      <c r="X422" s="269"/>
      <c r="Y422" s="207"/>
      <c r="Z422" s="207"/>
      <c r="AA422" s="208"/>
      <c r="AB422" s="206"/>
      <c r="AC422" s="206"/>
      <c r="AD422" s="207">
        <f t="shared" si="172"/>
        <v>7</v>
      </c>
      <c r="AE422" s="209">
        <f t="shared" si="173"/>
        <v>-7</v>
      </c>
      <c r="AF422" s="197"/>
      <c r="AG422" s="197"/>
      <c r="AH422" s="202">
        <f t="shared" si="198"/>
        <v>0</v>
      </c>
      <c r="AI422" s="210" t="e">
        <f>#REF!+5</f>
        <v>#REF!</v>
      </c>
      <c r="AJ422" s="197"/>
      <c r="AK422" s="211">
        <f t="shared" si="199"/>
        <v>0</v>
      </c>
      <c r="AL422" s="210">
        <f t="shared" si="194"/>
        <v>90</v>
      </c>
      <c r="AM422" s="197"/>
      <c r="AN422" s="194"/>
      <c r="AO422" s="194"/>
      <c r="AP422" s="194"/>
      <c r="AQ422" s="193"/>
      <c r="AR422" s="193"/>
      <c r="AS422" s="193"/>
      <c r="AT422" s="193"/>
      <c r="AU422" s="193"/>
      <c r="AV422" s="193"/>
      <c r="AW422" s="193"/>
      <c r="AX422" s="193"/>
      <c r="AY422" s="193"/>
      <c r="AZ422" s="193"/>
      <c r="BA422" s="193"/>
      <c r="BB422" s="193"/>
    </row>
    <row r="423" spans="1:54" s="250" customFormat="1" ht="24" customHeight="1">
      <c r="A423" s="197"/>
      <c r="B423" s="197"/>
      <c r="C423" s="194"/>
      <c r="D423" s="193"/>
      <c r="E423" s="194"/>
      <c r="F423" s="240"/>
      <c r="G423" s="194"/>
      <c r="H423" s="264"/>
      <c r="I423" s="285"/>
      <c r="J423" s="197"/>
      <c r="K423" s="197"/>
      <c r="L423" s="194"/>
      <c r="M423" s="194"/>
      <c r="N423" s="194"/>
      <c r="O423" s="193" t="s">
        <v>31</v>
      </c>
      <c r="P423" s="266"/>
      <c r="Q423" s="266">
        <f t="shared" si="195"/>
        <v>0</v>
      </c>
      <c r="R423" s="267" t="s">
        <v>30</v>
      </c>
      <c r="S423" s="266">
        <v>0</v>
      </c>
      <c r="T423" s="267">
        <f t="shared" si="196"/>
        <v>0</v>
      </c>
      <c r="U423" s="267">
        <f t="shared" si="197"/>
        <v>0</v>
      </c>
      <c r="V423" s="194"/>
      <c r="W423" s="268"/>
      <c r="X423" s="269"/>
      <c r="Y423" s="207"/>
      <c r="Z423" s="207"/>
      <c r="AA423" s="208"/>
      <c r="AB423" s="206"/>
      <c r="AC423" s="206"/>
      <c r="AD423" s="207">
        <f t="shared" si="172"/>
        <v>7</v>
      </c>
      <c r="AE423" s="209">
        <f t="shared" si="173"/>
        <v>-7</v>
      </c>
      <c r="AF423" s="197"/>
      <c r="AG423" s="197"/>
      <c r="AH423" s="202">
        <f t="shared" si="198"/>
        <v>0</v>
      </c>
      <c r="AI423" s="210" t="e">
        <f>#REF!+5</f>
        <v>#REF!</v>
      </c>
      <c r="AJ423" s="197"/>
      <c r="AK423" s="211">
        <f t="shared" si="199"/>
        <v>0</v>
      </c>
      <c r="AL423" s="210">
        <f t="shared" si="194"/>
        <v>90</v>
      </c>
      <c r="AM423" s="197"/>
      <c r="AN423" s="194"/>
      <c r="AO423" s="194"/>
      <c r="AP423" s="194"/>
      <c r="AQ423" s="193"/>
      <c r="AR423" s="193"/>
      <c r="AS423" s="193"/>
      <c r="AT423" s="193"/>
      <c r="AU423" s="193"/>
      <c r="AV423" s="193"/>
      <c r="AW423" s="193"/>
      <c r="AX423" s="193"/>
      <c r="AY423" s="193"/>
      <c r="AZ423" s="193"/>
      <c r="BA423" s="193"/>
      <c r="BB423" s="193"/>
    </row>
    <row r="424" spans="1:54" s="250" customFormat="1" ht="24" customHeight="1">
      <c r="A424" s="197"/>
      <c r="B424" s="197"/>
      <c r="C424" s="194"/>
      <c r="D424" s="193"/>
      <c r="E424" s="194"/>
      <c r="F424" s="240"/>
      <c r="G424" s="194"/>
      <c r="H424" s="264"/>
      <c r="I424" s="264"/>
      <c r="J424" s="197"/>
      <c r="K424" s="197"/>
      <c r="L424" s="194"/>
      <c r="M424" s="194"/>
      <c r="N424" s="194"/>
      <c r="O424" s="193" t="s">
        <v>31</v>
      </c>
      <c r="P424" s="266"/>
      <c r="Q424" s="266">
        <f t="shared" si="195"/>
        <v>0</v>
      </c>
      <c r="R424" s="267" t="s">
        <v>30</v>
      </c>
      <c r="S424" s="266">
        <v>0</v>
      </c>
      <c r="T424" s="267">
        <f t="shared" si="196"/>
        <v>0</v>
      </c>
      <c r="U424" s="267">
        <f t="shared" si="197"/>
        <v>0</v>
      </c>
      <c r="V424" s="194"/>
      <c r="W424" s="268"/>
      <c r="X424" s="269"/>
      <c r="Y424" s="207"/>
      <c r="Z424" s="207"/>
      <c r="AA424" s="208"/>
      <c r="AB424" s="206"/>
      <c r="AC424" s="206"/>
      <c r="AD424" s="207">
        <f t="shared" si="172"/>
        <v>7</v>
      </c>
      <c r="AE424" s="209">
        <f t="shared" si="173"/>
        <v>-7</v>
      </c>
      <c r="AF424" s="197"/>
      <c r="AG424" s="197"/>
      <c r="AH424" s="202">
        <f t="shared" si="198"/>
        <v>0</v>
      </c>
      <c r="AI424" s="210" t="e">
        <f>#REF!+5</f>
        <v>#REF!</v>
      </c>
      <c r="AJ424" s="197"/>
      <c r="AK424" s="211">
        <f t="shared" si="199"/>
        <v>0</v>
      </c>
      <c r="AL424" s="210">
        <f t="shared" si="194"/>
        <v>90</v>
      </c>
      <c r="AM424" s="197"/>
      <c r="AN424" s="194"/>
      <c r="AO424" s="194"/>
      <c r="AP424" s="194"/>
      <c r="AQ424" s="193"/>
      <c r="AR424" s="193"/>
      <c r="AS424" s="193"/>
      <c r="AT424" s="193"/>
      <c r="AU424" s="193"/>
      <c r="AV424" s="193"/>
      <c r="AW424" s="193"/>
      <c r="AX424" s="193"/>
      <c r="AY424" s="193"/>
      <c r="AZ424" s="193"/>
      <c r="BA424" s="193"/>
      <c r="BB424" s="193"/>
    </row>
    <row r="425" spans="1:54" s="250" customFormat="1" ht="24" customHeight="1">
      <c r="A425" s="197"/>
      <c r="B425" s="197"/>
      <c r="C425" s="194"/>
      <c r="D425" s="193"/>
      <c r="E425" s="194"/>
      <c r="F425" s="240"/>
      <c r="G425" s="194"/>
      <c r="H425" s="264"/>
      <c r="I425" s="264"/>
      <c r="J425" s="197"/>
      <c r="K425" s="197"/>
      <c r="L425" s="194"/>
      <c r="M425" s="194"/>
      <c r="N425" s="194"/>
      <c r="O425" s="193" t="s">
        <v>31</v>
      </c>
      <c r="P425" s="266"/>
      <c r="Q425" s="266">
        <f t="shared" si="195"/>
        <v>0</v>
      </c>
      <c r="R425" s="267" t="s">
        <v>30</v>
      </c>
      <c r="S425" s="266">
        <v>0</v>
      </c>
      <c r="T425" s="267">
        <f t="shared" si="196"/>
        <v>0</v>
      </c>
      <c r="U425" s="267">
        <f t="shared" si="197"/>
        <v>0</v>
      </c>
      <c r="V425" s="194"/>
      <c r="W425" s="268"/>
      <c r="X425" s="269"/>
      <c r="Y425" s="207"/>
      <c r="Z425" s="207"/>
      <c r="AA425" s="208"/>
      <c r="AB425" s="206"/>
      <c r="AC425" s="206"/>
      <c r="AD425" s="207">
        <f t="shared" si="172"/>
        <v>7</v>
      </c>
      <c r="AE425" s="209">
        <f t="shared" si="173"/>
        <v>-7</v>
      </c>
      <c r="AF425" s="197"/>
      <c r="AG425" s="197"/>
      <c r="AH425" s="202">
        <f t="shared" si="198"/>
        <v>0</v>
      </c>
      <c r="AI425" s="210" t="e">
        <f>#REF!+5</f>
        <v>#REF!</v>
      </c>
      <c r="AJ425" s="197"/>
      <c r="AK425" s="211">
        <f t="shared" si="199"/>
        <v>0</v>
      </c>
      <c r="AL425" s="210">
        <f t="shared" si="194"/>
        <v>90</v>
      </c>
      <c r="AM425" s="197"/>
      <c r="AN425" s="194"/>
      <c r="AO425" s="194"/>
      <c r="AP425" s="194"/>
      <c r="AQ425" s="193"/>
      <c r="AR425" s="193"/>
      <c r="AS425" s="193"/>
      <c r="AT425" s="193"/>
      <c r="AU425" s="193"/>
      <c r="AV425" s="193"/>
      <c r="AW425" s="193"/>
      <c r="AX425" s="193"/>
      <c r="AY425" s="193"/>
      <c r="AZ425" s="193"/>
      <c r="BA425" s="193"/>
      <c r="BB425" s="193"/>
    </row>
    <row r="426" spans="1:54" s="250" customFormat="1" ht="24" customHeight="1">
      <c r="A426" s="197"/>
      <c r="B426" s="197"/>
      <c r="C426" s="194"/>
      <c r="D426" s="193"/>
      <c r="E426" s="194"/>
      <c r="F426" s="240"/>
      <c r="G426" s="194"/>
      <c r="H426" s="264"/>
      <c r="I426" s="285"/>
      <c r="J426" s="197"/>
      <c r="K426" s="197"/>
      <c r="L426" s="194"/>
      <c r="M426" s="194"/>
      <c r="N426" s="194"/>
      <c r="O426" s="193" t="s">
        <v>31</v>
      </c>
      <c r="P426" s="266"/>
      <c r="Q426" s="266">
        <f t="shared" si="195"/>
        <v>0</v>
      </c>
      <c r="R426" s="267" t="s">
        <v>30</v>
      </c>
      <c r="S426" s="266">
        <v>0</v>
      </c>
      <c r="T426" s="267">
        <f t="shared" si="196"/>
        <v>0</v>
      </c>
      <c r="U426" s="267">
        <f t="shared" si="197"/>
        <v>0</v>
      </c>
      <c r="V426" s="194"/>
      <c r="W426" s="268"/>
      <c r="X426" s="269"/>
      <c r="Y426" s="207"/>
      <c r="Z426" s="207"/>
      <c r="AA426" s="208"/>
      <c r="AB426" s="206"/>
      <c r="AC426" s="271"/>
      <c r="AD426" s="207">
        <f t="shared" si="172"/>
        <v>7</v>
      </c>
      <c r="AE426" s="209">
        <f t="shared" si="173"/>
        <v>-7</v>
      </c>
      <c r="AF426" s="197"/>
      <c r="AG426" s="197"/>
      <c r="AH426" s="202">
        <f t="shared" si="198"/>
        <v>0</v>
      </c>
      <c r="AI426" s="210" t="e">
        <f>#REF!+5</f>
        <v>#REF!</v>
      </c>
      <c r="AJ426" s="197"/>
      <c r="AK426" s="211">
        <f t="shared" si="199"/>
        <v>0</v>
      </c>
      <c r="AL426" s="210">
        <f t="shared" si="194"/>
        <v>90</v>
      </c>
      <c r="AM426" s="197"/>
      <c r="AN426" s="194"/>
      <c r="AO426" s="194"/>
      <c r="AP426" s="194"/>
      <c r="AQ426" s="193"/>
      <c r="AR426" s="193"/>
      <c r="AS426" s="193"/>
      <c r="AT426" s="193"/>
      <c r="AU426" s="193"/>
      <c r="AV426" s="193"/>
      <c r="AW426" s="193"/>
      <c r="AX426" s="193"/>
      <c r="AY426" s="193"/>
      <c r="AZ426" s="193"/>
      <c r="BA426" s="193"/>
      <c r="BB426" s="193"/>
    </row>
    <row r="427" spans="1:54" s="250" customFormat="1" ht="24" customHeight="1">
      <c r="A427" s="197"/>
      <c r="B427" s="197"/>
      <c r="C427" s="194"/>
      <c r="D427" s="193"/>
      <c r="E427" s="194"/>
      <c r="F427" s="240"/>
      <c r="G427" s="194"/>
      <c r="H427" s="264"/>
      <c r="I427" s="285"/>
      <c r="J427" s="197"/>
      <c r="K427" s="197"/>
      <c r="L427" s="194"/>
      <c r="M427" s="194"/>
      <c r="N427" s="194"/>
      <c r="O427" s="193" t="s">
        <v>31</v>
      </c>
      <c r="P427" s="266"/>
      <c r="Q427" s="266">
        <f t="shared" si="195"/>
        <v>0</v>
      </c>
      <c r="R427" s="267" t="s">
        <v>30</v>
      </c>
      <c r="S427" s="266">
        <v>0</v>
      </c>
      <c r="T427" s="267">
        <f t="shared" si="196"/>
        <v>0</v>
      </c>
      <c r="U427" s="267">
        <f t="shared" si="197"/>
        <v>0</v>
      </c>
      <c r="V427" s="194"/>
      <c r="W427" s="268"/>
      <c r="X427" s="269"/>
      <c r="Y427" s="207"/>
      <c r="Z427" s="207"/>
      <c r="AA427" s="208"/>
      <c r="AB427" s="206"/>
      <c r="AC427" s="271"/>
      <c r="AD427" s="207">
        <f t="shared" si="172"/>
        <v>7</v>
      </c>
      <c r="AE427" s="209">
        <f t="shared" si="173"/>
        <v>-7</v>
      </c>
      <c r="AF427" s="197"/>
      <c r="AG427" s="197"/>
      <c r="AH427" s="202">
        <f t="shared" si="198"/>
        <v>0</v>
      </c>
      <c r="AI427" s="210" t="e">
        <f>#REF!+5</f>
        <v>#REF!</v>
      </c>
      <c r="AJ427" s="197"/>
      <c r="AK427" s="211">
        <f t="shared" si="199"/>
        <v>0</v>
      </c>
      <c r="AL427" s="210">
        <f t="shared" si="194"/>
        <v>90</v>
      </c>
      <c r="AM427" s="197"/>
      <c r="AN427" s="194"/>
      <c r="AO427" s="194"/>
      <c r="AP427" s="194"/>
      <c r="AQ427" s="193"/>
      <c r="AR427" s="193"/>
      <c r="AS427" s="193"/>
      <c r="AT427" s="193"/>
      <c r="AU427" s="193"/>
      <c r="AV427" s="193"/>
      <c r="AW427" s="193"/>
      <c r="AX427" s="193"/>
      <c r="AY427" s="193"/>
      <c r="AZ427" s="193"/>
      <c r="BA427" s="193"/>
      <c r="BB427" s="193"/>
    </row>
    <row r="428" spans="1:54" s="250" customFormat="1" ht="24" customHeight="1">
      <c r="A428" s="197"/>
      <c r="B428" s="197"/>
      <c r="C428" s="194"/>
      <c r="D428" s="193"/>
      <c r="E428" s="194"/>
      <c r="F428" s="240"/>
      <c r="G428" s="194"/>
      <c r="H428" s="264"/>
      <c r="I428" s="285"/>
      <c r="J428" s="197"/>
      <c r="K428" s="197"/>
      <c r="L428" s="194"/>
      <c r="M428" s="194"/>
      <c r="N428" s="194"/>
      <c r="O428" s="193" t="s">
        <v>31</v>
      </c>
      <c r="P428" s="266"/>
      <c r="Q428" s="266">
        <f t="shared" si="195"/>
        <v>0</v>
      </c>
      <c r="R428" s="267" t="s">
        <v>30</v>
      </c>
      <c r="S428" s="266">
        <v>0</v>
      </c>
      <c r="T428" s="267">
        <f t="shared" si="196"/>
        <v>0</v>
      </c>
      <c r="U428" s="267">
        <f t="shared" si="197"/>
        <v>0</v>
      </c>
      <c r="V428" s="194"/>
      <c r="W428" s="268"/>
      <c r="X428" s="269"/>
      <c r="Y428" s="207"/>
      <c r="Z428" s="207"/>
      <c r="AA428" s="208"/>
      <c r="AB428" s="206"/>
      <c r="AC428" s="271"/>
      <c r="AD428" s="207">
        <f t="shared" si="172"/>
        <v>7</v>
      </c>
      <c r="AE428" s="209">
        <f t="shared" si="173"/>
        <v>-7</v>
      </c>
      <c r="AF428" s="197"/>
      <c r="AG428" s="197"/>
      <c r="AH428" s="202">
        <f t="shared" si="198"/>
        <v>0</v>
      </c>
      <c r="AI428" s="210" t="e">
        <f>#REF!+5</f>
        <v>#REF!</v>
      </c>
      <c r="AJ428" s="197"/>
      <c r="AK428" s="211">
        <f t="shared" si="199"/>
        <v>0</v>
      </c>
      <c r="AL428" s="210">
        <f t="shared" si="194"/>
        <v>90</v>
      </c>
      <c r="AM428" s="197"/>
      <c r="AN428" s="194"/>
      <c r="AO428" s="194"/>
      <c r="AP428" s="194"/>
      <c r="AQ428" s="193"/>
      <c r="AR428" s="193"/>
      <c r="AS428" s="193"/>
      <c r="AT428" s="193"/>
      <c r="AU428" s="193"/>
      <c r="AV428" s="193"/>
      <c r="AW428" s="193"/>
      <c r="AX428" s="193"/>
      <c r="AY428" s="193"/>
      <c r="AZ428" s="193"/>
      <c r="BA428" s="193"/>
      <c r="BB428" s="193"/>
    </row>
    <row r="429" spans="1:54" s="250" customFormat="1" ht="24" customHeight="1">
      <c r="A429" s="197"/>
      <c r="B429" s="197"/>
      <c r="C429" s="194"/>
      <c r="D429" s="193"/>
      <c r="E429" s="194"/>
      <c r="F429" s="240"/>
      <c r="G429" s="194"/>
      <c r="H429" s="264"/>
      <c r="I429" s="285"/>
      <c r="J429" s="197"/>
      <c r="K429" s="197"/>
      <c r="L429" s="194"/>
      <c r="M429" s="194"/>
      <c r="N429" s="194"/>
      <c r="O429" s="193" t="s">
        <v>31</v>
      </c>
      <c r="P429" s="266"/>
      <c r="Q429" s="266">
        <f t="shared" si="195"/>
        <v>0</v>
      </c>
      <c r="R429" s="267" t="s">
        <v>30</v>
      </c>
      <c r="S429" s="266">
        <v>0</v>
      </c>
      <c r="T429" s="267">
        <f t="shared" si="196"/>
        <v>0</v>
      </c>
      <c r="U429" s="267">
        <f t="shared" si="197"/>
        <v>0</v>
      </c>
      <c r="V429" s="194"/>
      <c r="W429" s="268"/>
      <c r="X429" s="269"/>
      <c r="Y429" s="207"/>
      <c r="Z429" s="207"/>
      <c r="AA429" s="208"/>
      <c r="AB429" s="206"/>
      <c r="AC429" s="271"/>
      <c r="AD429" s="207">
        <f t="shared" si="172"/>
        <v>7</v>
      </c>
      <c r="AE429" s="209">
        <f t="shared" si="173"/>
        <v>-7</v>
      </c>
      <c r="AF429" s="197"/>
      <c r="AG429" s="197"/>
      <c r="AH429" s="202">
        <f t="shared" si="198"/>
        <v>0</v>
      </c>
      <c r="AI429" s="210" t="e">
        <f>#REF!+5</f>
        <v>#REF!</v>
      </c>
      <c r="AJ429" s="197"/>
      <c r="AK429" s="211">
        <f t="shared" si="199"/>
        <v>0</v>
      </c>
      <c r="AL429" s="210">
        <f t="shared" si="194"/>
        <v>90</v>
      </c>
      <c r="AM429" s="197"/>
      <c r="AN429" s="194"/>
      <c r="AO429" s="194"/>
      <c r="AP429" s="194"/>
      <c r="AQ429" s="193"/>
      <c r="AR429" s="193"/>
      <c r="AS429" s="193"/>
      <c r="AT429" s="193"/>
      <c r="AU429" s="193"/>
      <c r="AV429" s="193"/>
      <c r="AW429" s="193"/>
      <c r="AX429" s="193"/>
      <c r="AY429" s="193"/>
      <c r="AZ429" s="193"/>
      <c r="BA429" s="193"/>
      <c r="BB429" s="193"/>
    </row>
    <row r="430" spans="1:54" s="250" customFormat="1" ht="24" customHeight="1">
      <c r="A430" s="197"/>
      <c r="B430" s="197"/>
      <c r="C430" s="194"/>
      <c r="D430" s="193"/>
      <c r="E430" s="194"/>
      <c r="F430" s="194"/>
      <c r="G430" s="194"/>
      <c r="H430" s="264"/>
      <c r="I430" s="285"/>
      <c r="J430" s="197"/>
      <c r="K430" s="197"/>
      <c r="L430" s="194"/>
      <c r="M430" s="194"/>
      <c r="N430" s="194"/>
      <c r="O430" s="193" t="s">
        <v>31</v>
      </c>
      <c r="P430" s="266"/>
      <c r="Q430" s="266">
        <f t="shared" si="195"/>
        <v>0</v>
      </c>
      <c r="R430" s="267" t="s">
        <v>30</v>
      </c>
      <c r="S430" s="266">
        <v>0</v>
      </c>
      <c r="T430" s="267">
        <f t="shared" si="196"/>
        <v>0</v>
      </c>
      <c r="U430" s="267">
        <f t="shared" si="197"/>
        <v>0</v>
      </c>
      <c r="V430" s="194"/>
      <c r="W430" s="268"/>
      <c r="X430" s="269"/>
      <c r="Y430" s="207"/>
      <c r="Z430" s="207"/>
      <c r="AA430" s="208"/>
      <c r="AB430" s="206"/>
      <c r="AC430" s="271"/>
      <c r="AD430" s="207">
        <f t="shared" si="172"/>
        <v>7</v>
      </c>
      <c r="AE430" s="209">
        <f t="shared" si="173"/>
        <v>-7</v>
      </c>
      <c r="AF430" s="197"/>
      <c r="AG430" s="197"/>
      <c r="AH430" s="202">
        <f t="shared" si="198"/>
        <v>0</v>
      </c>
      <c r="AI430" s="210" t="e">
        <f>#REF!+5</f>
        <v>#REF!</v>
      </c>
      <c r="AJ430" s="197"/>
      <c r="AK430" s="211">
        <f t="shared" si="199"/>
        <v>0</v>
      </c>
      <c r="AL430" s="210">
        <f t="shared" si="194"/>
        <v>90</v>
      </c>
      <c r="AM430" s="197"/>
      <c r="AN430" s="194"/>
      <c r="AO430" s="194"/>
      <c r="AP430" s="194"/>
      <c r="AQ430" s="193"/>
      <c r="AR430" s="193"/>
      <c r="AS430" s="193"/>
      <c r="AT430" s="193"/>
      <c r="AU430" s="193"/>
      <c r="AV430" s="193"/>
      <c r="AW430" s="193"/>
      <c r="AX430" s="193"/>
      <c r="AY430" s="193"/>
      <c r="AZ430" s="193"/>
      <c r="BA430" s="193"/>
      <c r="BB430" s="193"/>
    </row>
    <row r="431" spans="1:54" s="213" customFormat="1" ht="24" customHeight="1">
      <c r="A431" s="197"/>
      <c r="B431" s="198"/>
      <c r="C431" s="198"/>
      <c r="D431" s="193"/>
      <c r="E431" s="198"/>
      <c r="F431" s="214"/>
      <c r="G431" s="198"/>
      <c r="H431" s="200"/>
      <c r="I431" s="277"/>
      <c r="J431" s="197"/>
      <c r="K431" s="197"/>
      <c r="L431" s="201"/>
      <c r="M431" s="201"/>
      <c r="N431" s="202"/>
      <c r="O431" s="193" t="s">
        <v>31</v>
      </c>
      <c r="P431" s="203"/>
      <c r="Q431" s="203">
        <f t="shared" ref="Q431:Q464" si="200">M431*P431</f>
        <v>0</v>
      </c>
      <c r="R431" s="204" t="s">
        <v>30</v>
      </c>
      <c r="S431" s="266">
        <v>0</v>
      </c>
      <c r="T431" s="204">
        <f t="shared" ref="T431:T464" si="201">M431*S431</f>
        <v>0</v>
      </c>
      <c r="U431" s="204">
        <f t="shared" ref="U431:U464" si="202">P431-S431</f>
        <v>0</v>
      </c>
      <c r="V431" s="197"/>
      <c r="W431" s="205"/>
      <c r="X431" s="192"/>
      <c r="Y431" s="207"/>
      <c r="Z431" s="206"/>
      <c r="AA431" s="208"/>
      <c r="AB431" s="207"/>
      <c r="AC431" s="206"/>
      <c r="AD431" s="207">
        <f t="shared" si="172"/>
        <v>7</v>
      </c>
      <c r="AE431" s="209">
        <f t="shared" si="173"/>
        <v>-7</v>
      </c>
      <c r="AF431" s="197"/>
      <c r="AG431" s="197"/>
      <c r="AH431" s="202">
        <f t="shared" si="198"/>
        <v>0</v>
      </c>
      <c r="AI431" s="210" t="e">
        <f>#REF!+5</f>
        <v>#REF!</v>
      </c>
      <c r="AJ431" s="197"/>
      <c r="AK431" s="211">
        <f t="shared" si="199"/>
        <v>0</v>
      </c>
      <c r="AL431" s="210">
        <f t="shared" si="194"/>
        <v>90</v>
      </c>
      <c r="AM431" s="197"/>
      <c r="AN431" s="202"/>
      <c r="AO431" s="195"/>
      <c r="AP431" s="195"/>
      <c r="AQ431" s="193"/>
      <c r="AR431" s="193"/>
      <c r="AS431" s="193"/>
      <c r="AT431" s="193"/>
      <c r="AU431" s="193"/>
      <c r="AV431" s="193"/>
      <c r="AW431" s="193"/>
      <c r="AX431" s="193"/>
      <c r="AY431" s="193"/>
      <c r="AZ431" s="193"/>
      <c r="BA431" s="193"/>
      <c r="BB431" s="193"/>
    </row>
    <row r="432" spans="1:54" s="213" customFormat="1" ht="24" customHeight="1">
      <c r="A432" s="197"/>
      <c r="B432" s="198"/>
      <c r="C432" s="198"/>
      <c r="D432" s="193"/>
      <c r="E432" s="198"/>
      <c r="F432" s="214"/>
      <c r="G432" s="198"/>
      <c r="H432" s="200"/>
      <c r="I432" s="277"/>
      <c r="J432" s="197"/>
      <c r="K432" s="197"/>
      <c r="L432" s="201"/>
      <c r="M432" s="201"/>
      <c r="N432" s="202"/>
      <c r="O432" s="193" t="s">
        <v>31</v>
      </c>
      <c r="P432" s="203"/>
      <c r="Q432" s="203">
        <f t="shared" si="200"/>
        <v>0</v>
      </c>
      <c r="R432" s="204" t="s">
        <v>30</v>
      </c>
      <c r="S432" s="266">
        <v>0</v>
      </c>
      <c r="T432" s="204">
        <f t="shared" si="201"/>
        <v>0</v>
      </c>
      <c r="U432" s="204">
        <f t="shared" si="202"/>
        <v>0</v>
      </c>
      <c r="V432" s="197"/>
      <c r="W432" s="205"/>
      <c r="X432" s="192"/>
      <c r="Y432" s="207"/>
      <c r="Z432" s="206"/>
      <c r="AA432" s="208"/>
      <c r="AB432" s="207"/>
      <c r="AC432" s="206"/>
      <c r="AD432" s="207">
        <f t="shared" si="172"/>
        <v>7</v>
      </c>
      <c r="AE432" s="209">
        <f t="shared" si="173"/>
        <v>-7</v>
      </c>
      <c r="AF432" s="197"/>
      <c r="AG432" s="197"/>
      <c r="AH432" s="202">
        <f t="shared" si="198"/>
        <v>0</v>
      </c>
      <c r="AI432" s="210" t="e">
        <f>#REF!+5</f>
        <v>#REF!</v>
      </c>
      <c r="AJ432" s="197"/>
      <c r="AK432" s="211">
        <f t="shared" si="199"/>
        <v>0</v>
      </c>
      <c r="AL432" s="210">
        <f t="shared" si="194"/>
        <v>90</v>
      </c>
      <c r="AM432" s="197"/>
      <c r="AN432" s="202"/>
      <c r="AO432" s="195"/>
      <c r="AP432" s="195"/>
      <c r="AQ432" s="193"/>
      <c r="AR432" s="193"/>
      <c r="AS432" s="193"/>
      <c r="AT432" s="193"/>
      <c r="AU432" s="193"/>
      <c r="AV432" s="193"/>
      <c r="AW432" s="193"/>
      <c r="AX432" s="193"/>
      <c r="AY432" s="193"/>
      <c r="AZ432" s="193"/>
      <c r="BA432" s="193"/>
      <c r="BB432" s="193"/>
    </row>
    <row r="433" spans="1:55" s="213" customFormat="1" ht="24" customHeight="1">
      <c r="A433" s="197"/>
      <c r="B433" s="198"/>
      <c r="C433" s="198"/>
      <c r="D433" s="193"/>
      <c r="E433" s="198"/>
      <c r="F433" s="214"/>
      <c r="G433" s="198"/>
      <c r="H433" s="217"/>
      <c r="I433" s="217"/>
      <c r="J433" s="197"/>
      <c r="K433" s="197"/>
      <c r="L433" s="201"/>
      <c r="M433" s="230"/>
      <c r="N433" s="202"/>
      <c r="O433" s="193" t="s">
        <v>31</v>
      </c>
      <c r="P433" s="203"/>
      <c r="Q433" s="204">
        <f t="shared" si="200"/>
        <v>0</v>
      </c>
      <c r="R433" s="203" t="s">
        <v>30</v>
      </c>
      <c r="S433" s="266">
        <v>0</v>
      </c>
      <c r="T433" s="204">
        <f t="shared" si="201"/>
        <v>0</v>
      </c>
      <c r="U433" s="204">
        <f t="shared" si="202"/>
        <v>0</v>
      </c>
      <c r="V433" s="197"/>
      <c r="W433" s="205"/>
      <c r="X433" s="192"/>
      <c r="Y433" s="220"/>
      <c r="Z433" s="234"/>
      <c r="AA433" s="208"/>
      <c r="AB433" s="206"/>
      <c r="AC433" s="207"/>
      <c r="AD433" s="207">
        <f t="shared" si="172"/>
        <v>7</v>
      </c>
      <c r="AE433" s="209">
        <f t="shared" si="173"/>
        <v>-7</v>
      </c>
      <c r="AF433" s="197"/>
      <c r="AG433" s="197"/>
      <c r="AH433" s="222">
        <f t="shared" si="198"/>
        <v>0</v>
      </c>
      <c r="AI433" s="210" t="e">
        <f>#REF!+5</f>
        <v>#REF!</v>
      </c>
      <c r="AJ433" s="197"/>
      <c r="AK433" s="211">
        <f t="shared" si="199"/>
        <v>0</v>
      </c>
      <c r="AL433" s="210">
        <f>Y433+60</f>
        <v>60</v>
      </c>
      <c r="AM433" s="223"/>
      <c r="AN433" s="194"/>
      <c r="AO433" s="194"/>
      <c r="AP433" s="194"/>
      <c r="AQ433" s="193"/>
      <c r="AR433" s="193"/>
      <c r="AS433" s="193"/>
      <c r="AT433" s="193"/>
      <c r="AU433" s="193"/>
      <c r="AV433" s="193"/>
      <c r="AW433" s="193"/>
      <c r="AX433" s="193"/>
      <c r="AY433" s="193"/>
      <c r="AZ433" s="193"/>
      <c r="BA433" s="193"/>
      <c r="BB433" s="193"/>
    </row>
    <row r="434" spans="1:55" s="213" customFormat="1" ht="24" customHeight="1">
      <c r="A434" s="197"/>
      <c r="B434" s="198"/>
      <c r="C434" s="198"/>
      <c r="D434" s="193"/>
      <c r="E434" s="198"/>
      <c r="F434" s="214"/>
      <c r="G434" s="198"/>
      <c r="H434" s="200"/>
      <c r="I434" s="200"/>
      <c r="J434" s="197"/>
      <c r="K434" s="197"/>
      <c r="L434" s="201"/>
      <c r="M434" s="201"/>
      <c r="N434" s="202"/>
      <c r="O434" s="193" t="s">
        <v>31</v>
      </c>
      <c r="P434" s="203"/>
      <c r="Q434" s="203">
        <f t="shared" si="200"/>
        <v>0</v>
      </c>
      <c r="R434" s="204" t="s">
        <v>30</v>
      </c>
      <c r="S434" s="266">
        <v>0</v>
      </c>
      <c r="T434" s="204">
        <f t="shared" si="201"/>
        <v>0</v>
      </c>
      <c r="U434" s="204">
        <f t="shared" si="202"/>
        <v>0</v>
      </c>
      <c r="V434" s="197"/>
      <c r="W434" s="205"/>
      <c r="X434" s="192"/>
      <c r="Y434" s="207"/>
      <c r="Z434" s="206"/>
      <c r="AA434" s="208"/>
      <c r="AB434" s="207"/>
      <c r="AC434" s="206"/>
      <c r="AD434" s="207">
        <f t="shared" si="172"/>
        <v>7</v>
      </c>
      <c r="AE434" s="209">
        <f t="shared" si="173"/>
        <v>-7</v>
      </c>
      <c r="AF434" s="197"/>
      <c r="AG434" s="197"/>
      <c r="AH434" s="202">
        <f t="shared" si="198"/>
        <v>0</v>
      </c>
      <c r="AI434" s="210" t="e">
        <f>#REF!+5</f>
        <v>#REF!</v>
      </c>
      <c r="AJ434" s="197"/>
      <c r="AK434" s="211">
        <f t="shared" si="199"/>
        <v>0</v>
      </c>
      <c r="AL434" s="210">
        <f t="shared" ref="AL434:AL448" si="203">Y434+90</f>
        <v>90</v>
      </c>
      <c r="AM434" s="197"/>
      <c r="AN434" s="202"/>
      <c r="AO434" s="202"/>
      <c r="AP434" s="202"/>
      <c r="AQ434" s="193"/>
      <c r="AR434" s="193"/>
      <c r="AS434" s="193"/>
      <c r="AT434" s="193"/>
      <c r="AU434" s="193"/>
      <c r="AV434" s="193"/>
      <c r="AW434" s="193"/>
      <c r="AX434" s="193"/>
      <c r="AY434" s="193"/>
      <c r="AZ434" s="193"/>
      <c r="BA434" s="193"/>
      <c r="BB434" s="193"/>
    </row>
    <row r="435" spans="1:55" s="213" customFormat="1" ht="24" customHeight="1">
      <c r="A435" s="197"/>
      <c r="B435" s="198"/>
      <c r="C435" s="198"/>
      <c r="D435" s="193"/>
      <c r="E435" s="198"/>
      <c r="F435" s="214"/>
      <c r="G435" s="198"/>
      <c r="H435" s="200"/>
      <c r="I435" s="200"/>
      <c r="J435" s="197"/>
      <c r="K435" s="197"/>
      <c r="L435" s="201"/>
      <c r="M435" s="201"/>
      <c r="N435" s="202"/>
      <c r="O435" s="193" t="s">
        <v>31</v>
      </c>
      <c r="P435" s="203"/>
      <c r="Q435" s="203">
        <f t="shared" si="200"/>
        <v>0</v>
      </c>
      <c r="R435" s="204" t="s">
        <v>30</v>
      </c>
      <c r="S435" s="266">
        <v>0</v>
      </c>
      <c r="T435" s="204">
        <f t="shared" si="201"/>
        <v>0</v>
      </c>
      <c r="U435" s="204">
        <f t="shared" si="202"/>
        <v>0</v>
      </c>
      <c r="V435" s="197"/>
      <c r="W435" s="205"/>
      <c r="X435" s="192"/>
      <c r="Y435" s="207"/>
      <c r="Z435" s="206"/>
      <c r="AA435" s="208"/>
      <c r="AB435" s="207"/>
      <c r="AC435" s="206"/>
      <c r="AD435" s="207">
        <f t="shared" si="172"/>
        <v>7</v>
      </c>
      <c r="AE435" s="209">
        <f t="shared" si="173"/>
        <v>-7</v>
      </c>
      <c r="AF435" s="197"/>
      <c r="AG435" s="197"/>
      <c r="AH435" s="202">
        <f t="shared" si="198"/>
        <v>0</v>
      </c>
      <c r="AI435" s="210" t="e">
        <f>#REF!+5</f>
        <v>#REF!</v>
      </c>
      <c r="AJ435" s="197"/>
      <c r="AK435" s="211">
        <f t="shared" si="199"/>
        <v>0</v>
      </c>
      <c r="AL435" s="210">
        <f t="shared" si="203"/>
        <v>90</v>
      </c>
      <c r="AM435" s="197"/>
      <c r="AN435" s="202"/>
      <c r="AO435" s="202"/>
      <c r="AP435" s="202"/>
      <c r="AQ435" s="193"/>
      <c r="AR435" s="193"/>
      <c r="AS435" s="193"/>
      <c r="AT435" s="193"/>
      <c r="AU435" s="193"/>
      <c r="AV435" s="193"/>
      <c r="AW435" s="193"/>
      <c r="AX435" s="193"/>
      <c r="AY435" s="193"/>
      <c r="AZ435" s="193"/>
      <c r="BA435" s="193"/>
      <c r="BB435" s="193"/>
    </row>
    <row r="436" spans="1:55" s="213" customFormat="1" ht="24" customHeight="1">
      <c r="A436" s="197"/>
      <c r="B436" s="198"/>
      <c r="C436" s="198"/>
      <c r="D436" s="251"/>
      <c r="E436" s="216"/>
      <c r="F436" s="219"/>
      <c r="G436" s="286"/>
      <c r="H436" s="200"/>
      <c r="I436" s="200"/>
      <c r="J436" s="197"/>
      <c r="K436" s="197"/>
      <c r="L436" s="218"/>
      <c r="M436" s="218"/>
      <c r="N436" s="219"/>
      <c r="O436" s="193" t="s">
        <v>31</v>
      </c>
      <c r="P436" s="203"/>
      <c r="Q436" s="203">
        <f t="shared" si="200"/>
        <v>0</v>
      </c>
      <c r="R436" s="204" t="s">
        <v>30</v>
      </c>
      <c r="S436" s="266">
        <v>0</v>
      </c>
      <c r="T436" s="204">
        <f t="shared" si="201"/>
        <v>0</v>
      </c>
      <c r="U436" s="204">
        <f t="shared" si="202"/>
        <v>0</v>
      </c>
      <c r="V436" s="197"/>
      <c r="W436" s="205"/>
      <c r="X436" s="192"/>
      <c r="Y436" s="207"/>
      <c r="Z436" s="206"/>
      <c r="AA436" s="208"/>
      <c r="AB436" s="207"/>
      <c r="AC436" s="206"/>
      <c r="AD436" s="207">
        <f t="shared" si="172"/>
        <v>7</v>
      </c>
      <c r="AE436" s="209">
        <f t="shared" si="173"/>
        <v>-7</v>
      </c>
      <c r="AF436" s="197"/>
      <c r="AG436" s="197"/>
      <c r="AH436" s="202">
        <f t="shared" si="198"/>
        <v>0</v>
      </c>
      <c r="AI436" s="210" t="e">
        <f>#REF!+5</f>
        <v>#REF!</v>
      </c>
      <c r="AJ436" s="197"/>
      <c r="AK436" s="211">
        <f t="shared" si="199"/>
        <v>0</v>
      </c>
      <c r="AL436" s="210">
        <f t="shared" si="203"/>
        <v>90</v>
      </c>
      <c r="AM436" s="197"/>
      <c r="AN436" s="202"/>
      <c r="AO436" s="194"/>
      <c r="AP436" s="194"/>
      <c r="AQ436" s="193"/>
      <c r="AR436" s="193"/>
      <c r="AS436" s="193"/>
      <c r="AT436" s="193"/>
      <c r="AU436" s="193"/>
      <c r="AV436" s="193"/>
      <c r="AW436" s="193"/>
      <c r="AX436" s="193"/>
      <c r="AY436" s="193"/>
      <c r="AZ436" s="193"/>
      <c r="BA436" s="193"/>
      <c r="BB436" s="193"/>
    </row>
    <row r="437" spans="1:55" s="213" customFormat="1" ht="24" customHeight="1">
      <c r="A437" s="197"/>
      <c r="B437" s="198"/>
      <c r="C437" s="198"/>
      <c r="D437" s="251"/>
      <c r="E437" s="216"/>
      <c r="F437" s="219"/>
      <c r="G437" s="286"/>
      <c r="H437" s="200"/>
      <c r="I437" s="200"/>
      <c r="J437" s="197"/>
      <c r="K437" s="197"/>
      <c r="L437" s="218"/>
      <c r="M437" s="218"/>
      <c r="N437" s="219"/>
      <c r="O437" s="193" t="s">
        <v>31</v>
      </c>
      <c r="P437" s="203"/>
      <c r="Q437" s="203">
        <f t="shared" si="200"/>
        <v>0</v>
      </c>
      <c r="R437" s="204" t="s">
        <v>30</v>
      </c>
      <c r="S437" s="266">
        <v>0</v>
      </c>
      <c r="T437" s="204">
        <f t="shared" si="201"/>
        <v>0</v>
      </c>
      <c r="U437" s="204">
        <f t="shared" si="202"/>
        <v>0</v>
      </c>
      <c r="V437" s="197"/>
      <c r="W437" s="205"/>
      <c r="X437" s="192"/>
      <c r="Y437" s="207"/>
      <c r="Z437" s="206"/>
      <c r="AA437" s="208"/>
      <c r="AB437" s="207"/>
      <c r="AC437" s="206"/>
      <c r="AD437" s="207">
        <f t="shared" si="172"/>
        <v>7</v>
      </c>
      <c r="AE437" s="209">
        <f t="shared" si="173"/>
        <v>-7</v>
      </c>
      <c r="AF437" s="197"/>
      <c r="AG437" s="197"/>
      <c r="AH437" s="202">
        <f t="shared" si="198"/>
        <v>0</v>
      </c>
      <c r="AI437" s="210" t="e">
        <f>#REF!+5</f>
        <v>#REF!</v>
      </c>
      <c r="AJ437" s="197"/>
      <c r="AK437" s="211">
        <f t="shared" si="199"/>
        <v>0</v>
      </c>
      <c r="AL437" s="210">
        <f t="shared" si="203"/>
        <v>90</v>
      </c>
      <c r="AM437" s="197"/>
      <c r="AN437" s="202"/>
      <c r="AO437" s="194"/>
      <c r="AP437" s="194"/>
      <c r="AQ437" s="193"/>
      <c r="AR437" s="193"/>
      <c r="AS437" s="193"/>
      <c r="AT437" s="193"/>
      <c r="AU437" s="193"/>
      <c r="AV437" s="193"/>
      <c r="AW437" s="193"/>
      <c r="AX437" s="193"/>
      <c r="AY437" s="193"/>
      <c r="AZ437" s="193"/>
      <c r="BA437" s="193"/>
      <c r="BB437" s="193"/>
    </row>
    <row r="438" spans="1:55" s="213" customFormat="1" ht="24" customHeight="1">
      <c r="A438" s="197"/>
      <c r="B438" s="198"/>
      <c r="C438" s="198"/>
      <c r="D438" s="251"/>
      <c r="E438" s="216"/>
      <c r="F438" s="219"/>
      <c r="G438" s="235"/>
      <c r="H438" s="200"/>
      <c r="I438" s="200"/>
      <c r="J438" s="197"/>
      <c r="K438" s="197"/>
      <c r="L438" s="218"/>
      <c r="M438" s="218"/>
      <c r="N438" s="219"/>
      <c r="O438" s="193" t="s">
        <v>31</v>
      </c>
      <c r="P438" s="203"/>
      <c r="Q438" s="203">
        <f t="shared" si="200"/>
        <v>0</v>
      </c>
      <c r="R438" s="204" t="s">
        <v>30</v>
      </c>
      <c r="S438" s="266">
        <v>0</v>
      </c>
      <c r="T438" s="204">
        <f t="shared" si="201"/>
        <v>0</v>
      </c>
      <c r="U438" s="204">
        <f t="shared" si="202"/>
        <v>0</v>
      </c>
      <c r="V438" s="197"/>
      <c r="W438" s="205"/>
      <c r="X438" s="192"/>
      <c r="Y438" s="207"/>
      <c r="Z438" s="206"/>
      <c r="AA438" s="208"/>
      <c r="AB438" s="207"/>
      <c r="AC438" s="206"/>
      <c r="AD438" s="207">
        <f t="shared" si="172"/>
        <v>7</v>
      </c>
      <c r="AE438" s="209">
        <f t="shared" si="173"/>
        <v>-7</v>
      </c>
      <c r="AF438" s="197"/>
      <c r="AG438" s="197"/>
      <c r="AH438" s="202">
        <f t="shared" si="198"/>
        <v>0</v>
      </c>
      <c r="AI438" s="210" t="e">
        <f>#REF!+5</f>
        <v>#REF!</v>
      </c>
      <c r="AJ438" s="197"/>
      <c r="AK438" s="211">
        <f t="shared" si="199"/>
        <v>0</v>
      </c>
      <c r="AL438" s="210">
        <f t="shared" si="203"/>
        <v>90</v>
      </c>
      <c r="AM438" s="197"/>
      <c r="AN438" s="202"/>
      <c r="AO438" s="194"/>
      <c r="AP438" s="194"/>
      <c r="AQ438" s="193"/>
      <c r="AR438" s="193"/>
      <c r="AS438" s="193"/>
      <c r="AT438" s="193"/>
      <c r="AU438" s="193"/>
      <c r="AV438" s="193"/>
      <c r="AW438" s="193"/>
      <c r="AX438" s="193"/>
      <c r="AY438" s="193"/>
      <c r="AZ438" s="193"/>
      <c r="BA438" s="193"/>
      <c r="BB438" s="193"/>
    </row>
    <row r="439" spans="1:55" s="213" customFormat="1" ht="24" customHeight="1">
      <c r="A439" s="197"/>
      <c r="B439" s="198"/>
      <c r="C439" s="198"/>
      <c r="D439" s="251"/>
      <c r="E439" s="216"/>
      <c r="F439" s="219"/>
      <c r="G439" s="235"/>
      <c r="H439" s="200"/>
      <c r="I439" s="200"/>
      <c r="J439" s="197"/>
      <c r="K439" s="197"/>
      <c r="L439" s="218"/>
      <c r="M439" s="218"/>
      <c r="N439" s="219"/>
      <c r="O439" s="193" t="s">
        <v>31</v>
      </c>
      <c r="P439" s="203"/>
      <c r="Q439" s="203">
        <f t="shared" si="200"/>
        <v>0</v>
      </c>
      <c r="R439" s="204" t="s">
        <v>30</v>
      </c>
      <c r="S439" s="266">
        <v>0</v>
      </c>
      <c r="T439" s="204">
        <f t="shared" si="201"/>
        <v>0</v>
      </c>
      <c r="U439" s="204">
        <f t="shared" si="202"/>
        <v>0</v>
      </c>
      <c r="V439" s="197"/>
      <c r="W439" s="205"/>
      <c r="X439" s="192"/>
      <c r="Y439" s="207"/>
      <c r="Z439" s="206"/>
      <c r="AA439" s="208"/>
      <c r="AB439" s="207"/>
      <c r="AC439" s="206"/>
      <c r="AD439" s="207">
        <f t="shared" si="172"/>
        <v>7</v>
      </c>
      <c r="AE439" s="209">
        <f t="shared" si="173"/>
        <v>-7</v>
      </c>
      <c r="AF439" s="197"/>
      <c r="AG439" s="197"/>
      <c r="AH439" s="202">
        <f t="shared" si="198"/>
        <v>0</v>
      </c>
      <c r="AI439" s="210" t="e">
        <f>#REF!+5</f>
        <v>#REF!</v>
      </c>
      <c r="AJ439" s="197"/>
      <c r="AK439" s="211">
        <f t="shared" si="199"/>
        <v>0</v>
      </c>
      <c r="AL439" s="210">
        <f t="shared" si="203"/>
        <v>90</v>
      </c>
      <c r="AM439" s="197"/>
      <c r="AN439" s="202"/>
      <c r="AO439" s="194"/>
      <c r="AP439" s="194"/>
      <c r="AQ439" s="193"/>
      <c r="AR439" s="193"/>
      <c r="AS439" s="193"/>
      <c r="AT439" s="193"/>
      <c r="AU439" s="193"/>
      <c r="AV439" s="193"/>
      <c r="AW439" s="193"/>
      <c r="AX439" s="193"/>
      <c r="AY439" s="193"/>
      <c r="AZ439" s="193"/>
      <c r="BA439" s="193"/>
      <c r="BB439" s="193"/>
    </row>
    <row r="440" spans="1:55" s="213" customFormat="1" ht="24" customHeight="1">
      <c r="A440" s="197"/>
      <c r="B440" s="198"/>
      <c r="C440" s="198"/>
      <c r="D440" s="251"/>
      <c r="E440" s="216"/>
      <c r="F440" s="219"/>
      <c r="G440" s="235"/>
      <c r="H440" s="200"/>
      <c r="I440" s="200"/>
      <c r="J440" s="197"/>
      <c r="K440" s="197"/>
      <c r="L440" s="218"/>
      <c r="M440" s="218"/>
      <c r="N440" s="219"/>
      <c r="O440" s="193" t="s">
        <v>31</v>
      </c>
      <c r="P440" s="203"/>
      <c r="Q440" s="203">
        <f t="shared" si="200"/>
        <v>0</v>
      </c>
      <c r="R440" s="204" t="s">
        <v>30</v>
      </c>
      <c r="S440" s="266">
        <v>0</v>
      </c>
      <c r="T440" s="204">
        <f t="shared" si="201"/>
        <v>0</v>
      </c>
      <c r="U440" s="204">
        <f t="shared" si="202"/>
        <v>0</v>
      </c>
      <c r="V440" s="197"/>
      <c r="W440" s="205"/>
      <c r="X440" s="192"/>
      <c r="Y440" s="207"/>
      <c r="Z440" s="206"/>
      <c r="AA440" s="208"/>
      <c r="AB440" s="207"/>
      <c r="AC440" s="206"/>
      <c r="AD440" s="207">
        <f t="shared" si="172"/>
        <v>7</v>
      </c>
      <c r="AE440" s="209">
        <f t="shared" si="173"/>
        <v>-7</v>
      </c>
      <c r="AF440" s="197"/>
      <c r="AG440" s="197"/>
      <c r="AH440" s="202">
        <f t="shared" si="198"/>
        <v>0</v>
      </c>
      <c r="AI440" s="210" t="e">
        <f>#REF!+5</f>
        <v>#REF!</v>
      </c>
      <c r="AJ440" s="197"/>
      <c r="AK440" s="211">
        <f t="shared" si="199"/>
        <v>0</v>
      </c>
      <c r="AL440" s="210">
        <f t="shared" si="203"/>
        <v>90</v>
      </c>
      <c r="AM440" s="197"/>
      <c r="AN440" s="202"/>
      <c r="AO440" s="194"/>
      <c r="AP440" s="194"/>
      <c r="AQ440" s="193"/>
      <c r="AR440" s="193"/>
      <c r="AS440" s="193"/>
      <c r="AT440" s="193"/>
      <c r="AU440" s="193"/>
      <c r="AV440" s="193"/>
      <c r="AW440" s="193"/>
      <c r="AX440" s="193"/>
      <c r="AY440" s="193"/>
      <c r="AZ440" s="193"/>
      <c r="BA440" s="193"/>
      <c r="BB440" s="193"/>
    </row>
    <row r="441" spans="1:55" s="250" customFormat="1" ht="24" customHeight="1">
      <c r="A441" s="197"/>
      <c r="B441" s="198"/>
      <c r="C441" s="198"/>
      <c r="D441" s="193"/>
      <c r="E441" s="261"/>
      <c r="F441" s="276"/>
      <c r="G441" s="261"/>
      <c r="H441" s="264"/>
      <c r="I441" s="282"/>
      <c r="J441" s="260"/>
      <c r="K441" s="260"/>
      <c r="L441" s="265"/>
      <c r="M441" s="284"/>
      <c r="N441" s="263"/>
      <c r="O441" s="193" t="s">
        <v>31</v>
      </c>
      <c r="P441" s="266"/>
      <c r="Q441" s="266">
        <f t="shared" si="200"/>
        <v>0</v>
      </c>
      <c r="R441" s="266" t="s">
        <v>30</v>
      </c>
      <c r="S441" s="266">
        <v>0</v>
      </c>
      <c r="T441" s="267">
        <f t="shared" si="201"/>
        <v>0</v>
      </c>
      <c r="U441" s="267">
        <f t="shared" si="202"/>
        <v>0</v>
      </c>
      <c r="V441" s="260"/>
      <c r="W441" s="268"/>
      <c r="X441" s="195"/>
      <c r="Y441" s="271"/>
      <c r="Z441" s="270"/>
      <c r="AA441" s="272"/>
      <c r="AB441" s="271"/>
      <c r="AC441" s="271"/>
      <c r="AD441" s="207">
        <f t="shared" si="172"/>
        <v>7</v>
      </c>
      <c r="AE441" s="273">
        <f t="shared" si="173"/>
        <v>-7</v>
      </c>
      <c r="AF441" s="260"/>
      <c r="AG441" s="260"/>
      <c r="AH441" s="263">
        <f t="shared" si="198"/>
        <v>0</v>
      </c>
      <c r="AI441" s="274" t="e">
        <f>#REF!+5</f>
        <v>#REF!</v>
      </c>
      <c r="AJ441" s="260"/>
      <c r="AK441" s="275">
        <f t="shared" si="199"/>
        <v>0</v>
      </c>
      <c r="AL441" s="274">
        <f t="shared" si="203"/>
        <v>90</v>
      </c>
      <c r="AM441" s="260"/>
      <c r="AN441" s="194"/>
      <c r="AO441" s="263"/>
      <c r="AP441" s="263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</row>
    <row r="442" spans="1:55" s="250" customFormat="1" ht="24" customHeight="1">
      <c r="A442" s="197"/>
      <c r="B442" s="198"/>
      <c r="C442" s="198"/>
      <c r="D442" s="193"/>
      <c r="E442" s="261"/>
      <c r="F442" s="276"/>
      <c r="G442" s="287"/>
      <c r="H442" s="264"/>
      <c r="I442" s="282"/>
      <c r="J442" s="260"/>
      <c r="K442" s="260"/>
      <c r="L442" s="265"/>
      <c r="M442" s="284"/>
      <c r="N442" s="263"/>
      <c r="O442" s="193" t="s">
        <v>31</v>
      </c>
      <c r="P442" s="266"/>
      <c r="Q442" s="266">
        <f t="shared" si="200"/>
        <v>0</v>
      </c>
      <c r="R442" s="266" t="s">
        <v>30</v>
      </c>
      <c r="S442" s="266">
        <v>0</v>
      </c>
      <c r="T442" s="267">
        <f t="shared" si="201"/>
        <v>0</v>
      </c>
      <c r="U442" s="267">
        <f t="shared" si="202"/>
        <v>0</v>
      </c>
      <c r="V442" s="260"/>
      <c r="W442" s="268"/>
      <c r="X442" s="195"/>
      <c r="Y442" s="271"/>
      <c r="Z442" s="270"/>
      <c r="AA442" s="272"/>
      <c r="AB442" s="271"/>
      <c r="AC442" s="271"/>
      <c r="AD442" s="207">
        <f t="shared" si="172"/>
        <v>7</v>
      </c>
      <c r="AE442" s="273">
        <f>AC442-AD442</f>
        <v>-7</v>
      </c>
      <c r="AF442" s="260"/>
      <c r="AG442" s="260"/>
      <c r="AH442" s="263">
        <f t="shared" si="198"/>
        <v>0</v>
      </c>
      <c r="AI442" s="274" t="e">
        <f>#REF!+5</f>
        <v>#REF!</v>
      </c>
      <c r="AJ442" s="260"/>
      <c r="AK442" s="275">
        <f t="shared" si="199"/>
        <v>0</v>
      </c>
      <c r="AL442" s="274">
        <f t="shared" si="203"/>
        <v>90</v>
      </c>
      <c r="AM442" s="260"/>
      <c r="AN442" s="194"/>
      <c r="AO442" s="263"/>
      <c r="AP442" s="263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</row>
    <row r="443" spans="1:55" s="250" customFormat="1" ht="24" customHeight="1">
      <c r="A443" s="197"/>
      <c r="B443" s="198"/>
      <c r="C443" s="198"/>
      <c r="D443" s="193"/>
      <c r="E443" s="199"/>
      <c r="F443" s="199"/>
      <c r="G443" s="199"/>
      <c r="H443" s="200"/>
      <c r="I443" s="200"/>
      <c r="J443" s="197"/>
      <c r="K443" s="197"/>
      <c r="L443" s="201"/>
      <c r="M443" s="201"/>
      <c r="N443" s="202"/>
      <c r="O443" s="193" t="s">
        <v>31</v>
      </c>
      <c r="P443" s="203"/>
      <c r="Q443" s="203">
        <f t="shared" si="200"/>
        <v>0</v>
      </c>
      <c r="R443" s="204" t="s">
        <v>30</v>
      </c>
      <c r="S443" s="266">
        <v>0</v>
      </c>
      <c r="T443" s="204">
        <f t="shared" si="201"/>
        <v>0</v>
      </c>
      <c r="U443" s="204">
        <f t="shared" si="202"/>
        <v>0</v>
      </c>
      <c r="V443" s="197"/>
      <c r="W443" s="205"/>
      <c r="X443" s="192"/>
      <c r="Y443" s="207"/>
      <c r="Z443" s="206"/>
      <c r="AA443" s="208"/>
      <c r="AB443" s="207"/>
      <c r="AC443" s="206"/>
      <c r="AD443" s="207">
        <f>Y443+7</f>
        <v>7</v>
      </c>
      <c r="AE443" s="209">
        <f>AC443-AD443</f>
        <v>-7</v>
      </c>
      <c r="AF443" s="197"/>
      <c r="AG443" s="197"/>
      <c r="AH443" s="202">
        <f t="shared" si="198"/>
        <v>0</v>
      </c>
      <c r="AI443" s="210" t="e">
        <f>#REF!+5</f>
        <v>#REF!</v>
      </c>
      <c r="AJ443" s="197"/>
      <c r="AK443" s="211">
        <f t="shared" si="199"/>
        <v>0</v>
      </c>
      <c r="AL443" s="210">
        <f t="shared" si="203"/>
        <v>90</v>
      </c>
      <c r="AM443" s="197"/>
      <c r="AN443" s="202"/>
      <c r="AO443" s="202"/>
      <c r="AP443" s="202"/>
      <c r="AQ443" s="193"/>
      <c r="AR443" s="193"/>
      <c r="AS443" s="193"/>
      <c r="AT443" s="193"/>
      <c r="AU443" s="193"/>
      <c r="AV443" s="193"/>
      <c r="AW443" s="193"/>
      <c r="AX443" s="193"/>
      <c r="AY443" s="193"/>
      <c r="AZ443" s="193"/>
      <c r="BA443" s="193"/>
      <c r="BB443" s="193"/>
      <c r="BC443" s="213"/>
    </row>
    <row r="444" spans="1:55" s="250" customFormat="1" ht="24" customHeight="1">
      <c r="A444" s="197"/>
      <c r="B444" s="198"/>
      <c r="C444" s="198"/>
      <c r="D444" s="193"/>
      <c r="E444" s="199"/>
      <c r="F444" s="199"/>
      <c r="G444" s="199"/>
      <c r="H444" s="200"/>
      <c r="I444" s="200"/>
      <c r="J444" s="197"/>
      <c r="K444" s="197"/>
      <c r="L444" s="201"/>
      <c r="M444" s="201"/>
      <c r="N444" s="202"/>
      <c r="O444" s="193" t="s">
        <v>31</v>
      </c>
      <c r="P444" s="203"/>
      <c r="Q444" s="203">
        <f t="shared" si="200"/>
        <v>0</v>
      </c>
      <c r="R444" s="204" t="s">
        <v>30</v>
      </c>
      <c r="S444" s="266">
        <v>0</v>
      </c>
      <c r="T444" s="204">
        <f t="shared" si="201"/>
        <v>0</v>
      </c>
      <c r="U444" s="204">
        <f t="shared" si="202"/>
        <v>0</v>
      </c>
      <c r="V444" s="197"/>
      <c r="W444" s="205"/>
      <c r="X444" s="192"/>
      <c r="Y444" s="207"/>
      <c r="Z444" s="206"/>
      <c r="AA444" s="208"/>
      <c r="AB444" s="207"/>
      <c r="AC444" s="206"/>
      <c r="AD444" s="207">
        <f>Y444+7</f>
        <v>7</v>
      </c>
      <c r="AE444" s="209">
        <f>AC444-AD444</f>
        <v>-7</v>
      </c>
      <c r="AF444" s="197"/>
      <c r="AG444" s="197"/>
      <c r="AH444" s="202">
        <f t="shared" si="198"/>
        <v>0</v>
      </c>
      <c r="AI444" s="210" t="e">
        <f>#REF!+5</f>
        <v>#REF!</v>
      </c>
      <c r="AJ444" s="197"/>
      <c r="AK444" s="211">
        <f t="shared" si="199"/>
        <v>0</v>
      </c>
      <c r="AL444" s="210">
        <f t="shared" si="203"/>
        <v>90</v>
      </c>
      <c r="AM444" s="197"/>
      <c r="AN444" s="202"/>
      <c r="AO444" s="202"/>
      <c r="AP444" s="202"/>
      <c r="AQ444" s="193"/>
      <c r="AR444" s="193"/>
      <c r="AS444" s="193"/>
      <c r="AT444" s="193"/>
      <c r="AU444" s="193"/>
      <c r="AV444" s="193"/>
      <c r="AW444" s="193"/>
      <c r="AX444" s="193"/>
      <c r="AY444" s="193"/>
      <c r="AZ444" s="193"/>
      <c r="BA444" s="193"/>
      <c r="BB444" s="193"/>
      <c r="BC444" s="213"/>
    </row>
    <row r="445" spans="1:55" s="250" customFormat="1" ht="24" customHeight="1">
      <c r="A445" s="197"/>
      <c r="B445" s="198"/>
      <c r="C445" s="198"/>
      <c r="D445" s="193"/>
      <c r="E445" s="199"/>
      <c r="F445" s="199"/>
      <c r="G445" s="199"/>
      <c r="H445" s="200"/>
      <c r="I445" s="200"/>
      <c r="J445" s="197"/>
      <c r="K445" s="197"/>
      <c r="L445" s="201"/>
      <c r="M445" s="201"/>
      <c r="N445" s="202"/>
      <c r="O445" s="193" t="s">
        <v>31</v>
      </c>
      <c r="P445" s="203"/>
      <c r="Q445" s="203">
        <f t="shared" si="200"/>
        <v>0</v>
      </c>
      <c r="R445" s="204" t="s">
        <v>30</v>
      </c>
      <c r="S445" s="266">
        <v>0</v>
      </c>
      <c r="T445" s="204">
        <f t="shared" si="201"/>
        <v>0</v>
      </c>
      <c r="U445" s="204">
        <f t="shared" si="202"/>
        <v>0</v>
      </c>
      <c r="V445" s="197"/>
      <c r="W445" s="205"/>
      <c r="X445" s="192"/>
      <c r="Y445" s="207"/>
      <c r="Z445" s="206"/>
      <c r="AA445" s="208"/>
      <c r="AB445" s="207"/>
      <c r="AC445" s="206"/>
      <c r="AD445" s="207">
        <f>Y445+7</f>
        <v>7</v>
      </c>
      <c r="AE445" s="209">
        <f>AC445-AD445</f>
        <v>-7</v>
      </c>
      <c r="AF445" s="197"/>
      <c r="AG445" s="197"/>
      <c r="AH445" s="202">
        <f t="shared" si="198"/>
        <v>0</v>
      </c>
      <c r="AI445" s="210" t="e">
        <f>#REF!+5</f>
        <v>#REF!</v>
      </c>
      <c r="AJ445" s="197"/>
      <c r="AK445" s="211">
        <f t="shared" si="199"/>
        <v>0</v>
      </c>
      <c r="AL445" s="210">
        <f t="shared" si="203"/>
        <v>90</v>
      </c>
      <c r="AM445" s="197"/>
      <c r="AN445" s="202"/>
      <c r="AO445" s="202"/>
      <c r="AP445" s="202"/>
      <c r="AQ445" s="193"/>
      <c r="AR445" s="193"/>
      <c r="AS445" s="193"/>
      <c r="AT445" s="193"/>
      <c r="AU445" s="193"/>
      <c r="AV445" s="193"/>
      <c r="AW445" s="193"/>
      <c r="AX445" s="193"/>
      <c r="AY445" s="193"/>
      <c r="AZ445" s="193"/>
      <c r="BA445" s="193"/>
      <c r="BB445" s="193"/>
      <c r="BC445" s="213"/>
    </row>
    <row r="446" spans="1:55" s="250" customFormat="1" ht="24" customHeight="1">
      <c r="A446" s="197"/>
      <c r="B446" s="198"/>
      <c r="C446" s="198"/>
      <c r="D446" s="193"/>
      <c r="E446" s="199"/>
      <c r="F446" s="199"/>
      <c r="G446" s="199"/>
      <c r="H446" s="200"/>
      <c r="I446" s="200"/>
      <c r="J446" s="197"/>
      <c r="K446" s="197"/>
      <c r="L446" s="201"/>
      <c r="M446" s="201"/>
      <c r="N446" s="202"/>
      <c r="O446" s="193" t="s">
        <v>31</v>
      </c>
      <c r="P446" s="203"/>
      <c r="Q446" s="203">
        <f t="shared" si="200"/>
        <v>0</v>
      </c>
      <c r="R446" s="204" t="s">
        <v>30</v>
      </c>
      <c r="S446" s="266">
        <v>0</v>
      </c>
      <c r="T446" s="204">
        <f t="shared" si="201"/>
        <v>0</v>
      </c>
      <c r="U446" s="204">
        <f t="shared" si="202"/>
        <v>0</v>
      </c>
      <c r="V446" s="197"/>
      <c r="W446" s="205"/>
      <c r="X446" s="192"/>
      <c r="Y446" s="207"/>
      <c r="Z446" s="206"/>
      <c r="AA446" s="208"/>
      <c r="AB446" s="207"/>
      <c r="AC446" s="206"/>
      <c r="AD446" s="207">
        <f>Y446+7</f>
        <v>7</v>
      </c>
      <c r="AE446" s="209">
        <f>AC446-AD446</f>
        <v>-7</v>
      </c>
      <c r="AF446" s="197"/>
      <c r="AG446" s="197"/>
      <c r="AH446" s="202">
        <f t="shared" si="198"/>
        <v>0</v>
      </c>
      <c r="AI446" s="210" t="e">
        <f>#REF!+5</f>
        <v>#REF!</v>
      </c>
      <c r="AJ446" s="197"/>
      <c r="AK446" s="211">
        <f t="shared" si="199"/>
        <v>0</v>
      </c>
      <c r="AL446" s="210">
        <f t="shared" si="203"/>
        <v>90</v>
      </c>
      <c r="AM446" s="197"/>
      <c r="AN446" s="202"/>
      <c r="AO446" s="202"/>
      <c r="AP446" s="202"/>
      <c r="AQ446" s="193"/>
      <c r="AR446" s="193"/>
      <c r="AS446" s="193"/>
      <c r="AT446" s="193"/>
      <c r="AU446" s="193"/>
      <c r="AV446" s="193"/>
      <c r="AW446" s="193"/>
      <c r="AX446" s="193"/>
      <c r="AY446" s="193"/>
      <c r="AZ446" s="193"/>
      <c r="BA446" s="193"/>
      <c r="BB446" s="193"/>
      <c r="BC446" s="213"/>
    </row>
    <row r="447" spans="1:55" s="250" customFormat="1" ht="24" customHeight="1">
      <c r="A447" s="260"/>
      <c r="B447" s="261"/>
      <c r="C447" s="261"/>
      <c r="D447" s="262"/>
      <c r="E447" s="261"/>
      <c r="F447" s="276"/>
      <c r="G447" s="261"/>
      <c r="H447" s="264"/>
      <c r="I447" s="264"/>
      <c r="J447" s="260"/>
      <c r="K447" s="260"/>
      <c r="L447" s="265"/>
      <c r="M447" s="265"/>
      <c r="N447" s="263"/>
      <c r="O447" s="193" t="s">
        <v>31</v>
      </c>
      <c r="P447" s="266"/>
      <c r="Q447" s="266">
        <f t="shared" si="200"/>
        <v>0</v>
      </c>
      <c r="R447" s="267" t="s">
        <v>30</v>
      </c>
      <c r="S447" s="266">
        <v>0</v>
      </c>
      <c r="T447" s="267">
        <f t="shared" si="201"/>
        <v>0</v>
      </c>
      <c r="U447" s="267">
        <f t="shared" si="202"/>
        <v>0</v>
      </c>
      <c r="V447" s="260"/>
      <c r="W447" s="268"/>
      <c r="X447" s="269"/>
      <c r="Y447" s="270"/>
      <c r="Z447" s="271"/>
      <c r="AA447" s="272"/>
      <c r="AB447" s="270"/>
      <c r="AC447" s="271"/>
      <c r="AD447" s="207">
        <f t="shared" si="172"/>
        <v>7</v>
      </c>
      <c r="AE447" s="209">
        <f t="shared" si="173"/>
        <v>-7</v>
      </c>
      <c r="AF447" s="260"/>
      <c r="AG447" s="260"/>
      <c r="AH447" s="263">
        <f t="shared" si="198"/>
        <v>0</v>
      </c>
      <c r="AI447" s="274" t="e">
        <f>#REF!+5</f>
        <v>#REF!</v>
      </c>
      <c r="AJ447" s="260"/>
      <c r="AK447" s="275">
        <f t="shared" si="199"/>
        <v>0</v>
      </c>
      <c r="AL447" s="274">
        <f t="shared" si="203"/>
        <v>90</v>
      </c>
      <c r="AM447" s="260"/>
      <c r="AN447" s="194"/>
      <c r="AO447" s="196"/>
      <c r="AP447" s="196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</row>
    <row r="448" spans="1:55" s="250" customFormat="1" ht="24" customHeight="1">
      <c r="A448" s="260"/>
      <c r="B448" s="261"/>
      <c r="C448" s="261"/>
      <c r="D448" s="262"/>
      <c r="E448" s="261"/>
      <c r="F448" s="276"/>
      <c r="G448" s="261"/>
      <c r="H448" s="264"/>
      <c r="I448" s="264"/>
      <c r="J448" s="260"/>
      <c r="K448" s="260"/>
      <c r="L448" s="265"/>
      <c r="M448" s="265"/>
      <c r="N448" s="263"/>
      <c r="O448" s="193" t="s">
        <v>31</v>
      </c>
      <c r="P448" s="266"/>
      <c r="Q448" s="266">
        <f t="shared" si="200"/>
        <v>0</v>
      </c>
      <c r="R448" s="267" t="s">
        <v>30</v>
      </c>
      <c r="S448" s="266">
        <v>0</v>
      </c>
      <c r="T448" s="267">
        <f t="shared" si="201"/>
        <v>0</v>
      </c>
      <c r="U448" s="267">
        <f t="shared" si="202"/>
        <v>0</v>
      </c>
      <c r="V448" s="260"/>
      <c r="W448" s="268"/>
      <c r="X448" s="269"/>
      <c r="Y448" s="270"/>
      <c r="Z448" s="271"/>
      <c r="AA448" s="272"/>
      <c r="AB448" s="270"/>
      <c r="AC448" s="271"/>
      <c r="AD448" s="207">
        <f t="shared" si="172"/>
        <v>7</v>
      </c>
      <c r="AE448" s="209">
        <f t="shared" si="173"/>
        <v>-7</v>
      </c>
      <c r="AF448" s="260"/>
      <c r="AG448" s="260"/>
      <c r="AH448" s="263">
        <f t="shared" si="198"/>
        <v>0</v>
      </c>
      <c r="AI448" s="274" t="e">
        <f>#REF!+5</f>
        <v>#REF!</v>
      </c>
      <c r="AJ448" s="260"/>
      <c r="AK448" s="275">
        <f t="shared" si="199"/>
        <v>0</v>
      </c>
      <c r="AL448" s="274">
        <f t="shared" si="203"/>
        <v>90</v>
      </c>
      <c r="AM448" s="260"/>
      <c r="AN448" s="194"/>
      <c r="AO448" s="196"/>
      <c r="AP448" s="196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</row>
    <row r="449" spans="1:55" s="213" customFormat="1" ht="24" customHeight="1">
      <c r="A449" s="197"/>
      <c r="B449" s="198"/>
      <c r="C449" s="198"/>
      <c r="D449" s="193"/>
      <c r="E449" s="198"/>
      <c r="F449" s="214"/>
      <c r="G449" s="198"/>
      <c r="H449" s="200"/>
      <c r="I449" s="200"/>
      <c r="J449" s="197"/>
      <c r="K449" s="197"/>
      <c r="L449" s="201"/>
      <c r="M449" s="201"/>
      <c r="N449" s="202"/>
      <c r="O449" s="193" t="s">
        <v>35</v>
      </c>
      <c r="P449" s="203"/>
      <c r="Q449" s="203">
        <f t="shared" si="200"/>
        <v>0</v>
      </c>
      <c r="R449" s="204" t="s">
        <v>30</v>
      </c>
      <c r="S449" s="266">
        <v>0</v>
      </c>
      <c r="T449" s="204">
        <f t="shared" si="201"/>
        <v>0</v>
      </c>
      <c r="U449" s="204">
        <f t="shared" si="202"/>
        <v>0</v>
      </c>
      <c r="V449" s="197"/>
      <c r="W449" s="205"/>
      <c r="X449" s="192"/>
      <c r="Y449" s="207"/>
      <c r="Z449" s="206"/>
      <c r="AA449" s="208"/>
      <c r="AB449" s="207"/>
      <c r="AC449" s="206"/>
      <c r="AD449" s="207">
        <f t="shared" si="172"/>
        <v>7</v>
      </c>
      <c r="AE449" s="209">
        <f t="shared" ref="AE449:AE455" si="204">AC449-AD449</f>
        <v>-7</v>
      </c>
      <c r="AF449" s="197"/>
      <c r="AG449" s="197"/>
      <c r="AH449" s="202">
        <f t="shared" si="198"/>
        <v>0</v>
      </c>
      <c r="AI449" s="210" t="e">
        <f>#REF!+5</f>
        <v>#REF!</v>
      </c>
      <c r="AJ449" s="197"/>
      <c r="AK449" s="211">
        <f t="shared" si="199"/>
        <v>0</v>
      </c>
      <c r="AL449" s="210">
        <f>Y449+60</f>
        <v>60</v>
      </c>
      <c r="AM449" s="197"/>
      <c r="AN449" s="194"/>
      <c r="AO449" s="202"/>
      <c r="AP449" s="202"/>
      <c r="AQ449" s="193"/>
      <c r="AR449" s="193"/>
      <c r="AS449" s="193"/>
      <c r="AT449" s="193"/>
      <c r="AU449" s="193"/>
      <c r="AV449" s="193"/>
      <c r="AW449" s="193"/>
      <c r="AX449" s="193"/>
      <c r="AY449" s="193"/>
      <c r="AZ449" s="193"/>
      <c r="BA449" s="193"/>
      <c r="BB449" s="193"/>
    </row>
    <row r="450" spans="1:55" s="250" customFormat="1" ht="24" customHeight="1">
      <c r="A450" s="197"/>
      <c r="B450" s="198"/>
      <c r="C450" s="198"/>
      <c r="D450" s="193"/>
      <c r="E450" s="259"/>
      <c r="F450" s="196"/>
      <c r="G450" s="283"/>
      <c r="H450" s="264"/>
      <c r="I450" s="282"/>
      <c r="J450" s="260"/>
      <c r="K450" s="197"/>
      <c r="L450" s="265"/>
      <c r="M450" s="284"/>
      <c r="N450" s="263"/>
      <c r="O450" s="262" t="s">
        <v>35</v>
      </c>
      <c r="P450" s="266"/>
      <c r="Q450" s="266">
        <f t="shared" si="200"/>
        <v>0</v>
      </c>
      <c r="R450" s="266" t="s">
        <v>34</v>
      </c>
      <c r="S450" s="266">
        <v>0</v>
      </c>
      <c r="T450" s="267">
        <f t="shared" si="201"/>
        <v>0</v>
      </c>
      <c r="U450" s="267">
        <f t="shared" si="202"/>
        <v>0</v>
      </c>
      <c r="V450" s="260"/>
      <c r="W450" s="268"/>
      <c r="X450" s="195"/>
      <c r="Y450" s="220"/>
      <c r="Z450" s="221"/>
      <c r="AA450" s="208"/>
      <c r="AB450" s="220"/>
      <c r="AC450" s="207"/>
      <c r="AD450" s="207">
        <f t="shared" si="172"/>
        <v>7</v>
      </c>
      <c r="AE450" s="209">
        <f t="shared" si="204"/>
        <v>-7</v>
      </c>
      <c r="AF450" s="197"/>
      <c r="AG450" s="197"/>
      <c r="AH450" s="202">
        <f t="shared" si="198"/>
        <v>0</v>
      </c>
      <c r="AI450" s="210" t="e">
        <f>#REF!+5</f>
        <v>#REF!</v>
      </c>
      <c r="AJ450" s="260"/>
      <c r="AK450" s="211">
        <f t="shared" si="199"/>
        <v>0</v>
      </c>
      <c r="AL450" s="210">
        <f>Y450+90</f>
        <v>90</v>
      </c>
      <c r="AM450" s="260"/>
      <c r="AN450" s="202"/>
      <c r="AO450" s="202"/>
      <c r="AP450" s="202"/>
      <c r="AQ450" s="193"/>
      <c r="AR450" s="193"/>
      <c r="AS450" s="193"/>
      <c r="AT450" s="193"/>
      <c r="AU450" s="193"/>
      <c r="AV450" s="193"/>
      <c r="AW450" s="193"/>
      <c r="AX450" s="193"/>
      <c r="AY450" s="193"/>
      <c r="AZ450" s="193"/>
      <c r="BA450" s="193"/>
      <c r="BB450" s="193"/>
      <c r="BC450" s="376"/>
    </row>
    <row r="451" spans="1:55" s="250" customFormat="1" ht="24" customHeight="1">
      <c r="A451" s="197"/>
      <c r="B451" s="198"/>
      <c r="C451" s="194"/>
      <c r="D451" s="193"/>
      <c r="E451" s="199"/>
      <c r="F451" s="195"/>
      <c r="G451" s="231"/>
      <c r="H451" s="264"/>
      <c r="I451" s="282"/>
      <c r="J451" s="197"/>
      <c r="K451" s="197"/>
      <c r="L451" s="230"/>
      <c r="M451" s="230"/>
      <c r="N451" s="202"/>
      <c r="O451" s="193" t="s">
        <v>35</v>
      </c>
      <c r="P451" s="203"/>
      <c r="Q451" s="203">
        <f t="shared" si="200"/>
        <v>0</v>
      </c>
      <c r="R451" s="203" t="s">
        <v>34</v>
      </c>
      <c r="S451" s="266">
        <v>0</v>
      </c>
      <c r="T451" s="204">
        <f t="shared" si="201"/>
        <v>0</v>
      </c>
      <c r="U451" s="204">
        <f t="shared" si="202"/>
        <v>0</v>
      </c>
      <c r="V451" s="197"/>
      <c r="W451" s="205"/>
      <c r="X451" s="195"/>
      <c r="Y451" s="220"/>
      <c r="Z451" s="221"/>
      <c r="AA451" s="208"/>
      <c r="AB451" s="220"/>
      <c r="AC451" s="207"/>
      <c r="AD451" s="207">
        <f t="shared" si="172"/>
        <v>7</v>
      </c>
      <c r="AE451" s="209">
        <f t="shared" si="204"/>
        <v>-7</v>
      </c>
      <c r="AF451" s="197"/>
      <c r="AG451" s="197"/>
      <c r="AH451" s="202">
        <f t="shared" si="198"/>
        <v>0</v>
      </c>
      <c r="AI451" s="210" t="e">
        <f>#REF!+5</f>
        <v>#REF!</v>
      </c>
      <c r="AJ451" s="197"/>
      <c r="AK451" s="211">
        <f t="shared" si="199"/>
        <v>0</v>
      </c>
      <c r="AL451" s="210">
        <f>Y451+90</f>
        <v>90</v>
      </c>
      <c r="AM451" s="197"/>
      <c r="AN451" s="202"/>
      <c r="AO451" s="202"/>
      <c r="AP451" s="202"/>
      <c r="AQ451" s="193"/>
      <c r="AR451" s="193"/>
      <c r="AS451" s="193"/>
      <c r="AT451" s="193"/>
      <c r="AU451" s="193"/>
      <c r="AV451" s="193"/>
      <c r="AW451" s="193"/>
      <c r="AX451" s="193"/>
      <c r="AY451" s="193"/>
      <c r="AZ451" s="193"/>
      <c r="BA451" s="193"/>
      <c r="BB451" s="193"/>
      <c r="BC451" s="213"/>
    </row>
    <row r="452" spans="1:55" s="250" customFormat="1" ht="24" customHeight="1">
      <c r="A452" s="197"/>
      <c r="B452" s="198"/>
      <c r="C452" s="194"/>
      <c r="D452" s="193"/>
      <c r="E452" s="199"/>
      <c r="F452" s="195"/>
      <c r="G452" s="231"/>
      <c r="H452" s="264"/>
      <c r="I452" s="282"/>
      <c r="J452" s="197"/>
      <c r="K452" s="197"/>
      <c r="L452" s="230"/>
      <c r="M452" s="230"/>
      <c r="N452" s="202"/>
      <c r="O452" s="193" t="s">
        <v>35</v>
      </c>
      <c r="P452" s="203"/>
      <c r="Q452" s="203">
        <f t="shared" si="200"/>
        <v>0</v>
      </c>
      <c r="R452" s="203" t="s">
        <v>34</v>
      </c>
      <c r="S452" s="266">
        <v>0</v>
      </c>
      <c r="T452" s="204">
        <f t="shared" si="201"/>
        <v>0</v>
      </c>
      <c r="U452" s="204">
        <f t="shared" si="202"/>
        <v>0</v>
      </c>
      <c r="V452" s="197"/>
      <c r="W452" s="205"/>
      <c r="X452" s="195"/>
      <c r="Y452" s="220"/>
      <c r="Z452" s="221"/>
      <c r="AA452" s="208"/>
      <c r="AB452" s="220"/>
      <c r="AC452" s="207"/>
      <c r="AD452" s="207">
        <f>Y452+7</f>
        <v>7</v>
      </c>
      <c r="AE452" s="209">
        <f>AC452-AD452</f>
        <v>-7</v>
      </c>
      <c r="AF452" s="197"/>
      <c r="AG452" s="197"/>
      <c r="AH452" s="202">
        <f t="shared" si="198"/>
        <v>0</v>
      </c>
      <c r="AI452" s="210" t="e">
        <f>#REF!+5</f>
        <v>#REF!</v>
      </c>
      <c r="AJ452" s="197"/>
      <c r="AK452" s="211">
        <f t="shared" si="199"/>
        <v>0</v>
      </c>
      <c r="AL452" s="210">
        <f>Y452+90</f>
        <v>90</v>
      </c>
      <c r="AM452" s="197"/>
      <c r="AN452" s="202"/>
      <c r="AO452" s="202"/>
      <c r="AP452" s="202"/>
      <c r="AQ452" s="193"/>
      <c r="AR452" s="193"/>
      <c r="AS452" s="193"/>
      <c r="AT452" s="193"/>
      <c r="AU452" s="193"/>
      <c r="AV452" s="193"/>
      <c r="AW452" s="193"/>
      <c r="AX452" s="193"/>
      <c r="AY452" s="193"/>
      <c r="AZ452" s="193"/>
      <c r="BA452" s="193"/>
      <c r="BB452" s="193"/>
      <c r="BC452" s="213"/>
    </row>
    <row r="453" spans="1:55" s="250" customFormat="1" ht="24" customHeight="1">
      <c r="A453" s="197"/>
      <c r="B453" s="198"/>
      <c r="C453" s="194"/>
      <c r="D453" s="193"/>
      <c r="E453" s="199"/>
      <c r="F453" s="195"/>
      <c r="G453" s="231"/>
      <c r="H453" s="264"/>
      <c r="I453" s="282"/>
      <c r="J453" s="197"/>
      <c r="K453" s="197"/>
      <c r="L453" s="230"/>
      <c r="M453" s="230"/>
      <c r="N453" s="202"/>
      <c r="O453" s="193" t="s">
        <v>35</v>
      </c>
      <c r="P453" s="203"/>
      <c r="Q453" s="203">
        <f t="shared" si="200"/>
        <v>0</v>
      </c>
      <c r="R453" s="203" t="s">
        <v>34</v>
      </c>
      <c r="S453" s="266">
        <v>0</v>
      </c>
      <c r="T453" s="204">
        <f t="shared" si="201"/>
        <v>0</v>
      </c>
      <c r="U453" s="204">
        <f t="shared" si="202"/>
        <v>0</v>
      </c>
      <c r="V453" s="197"/>
      <c r="W453" s="205"/>
      <c r="X453" s="195"/>
      <c r="Y453" s="220"/>
      <c r="Z453" s="221"/>
      <c r="AA453" s="208"/>
      <c r="AB453" s="220"/>
      <c r="AC453" s="207"/>
      <c r="AD453" s="207">
        <f>Y453+7</f>
        <v>7</v>
      </c>
      <c r="AE453" s="209">
        <f>AC453-AD453</f>
        <v>-7</v>
      </c>
      <c r="AF453" s="197"/>
      <c r="AG453" s="197"/>
      <c r="AH453" s="202">
        <f t="shared" si="198"/>
        <v>0</v>
      </c>
      <c r="AI453" s="210" t="e">
        <f>#REF!+5</f>
        <v>#REF!</v>
      </c>
      <c r="AJ453" s="197"/>
      <c r="AK453" s="211">
        <f t="shared" si="199"/>
        <v>0</v>
      </c>
      <c r="AL453" s="210">
        <f>Y453+90</f>
        <v>90</v>
      </c>
      <c r="AM453" s="197"/>
      <c r="AN453" s="202"/>
      <c r="AO453" s="202"/>
      <c r="AP453" s="202"/>
      <c r="AQ453" s="193"/>
      <c r="AR453" s="193"/>
      <c r="AS453" s="193"/>
      <c r="AT453" s="193"/>
      <c r="AU453" s="193"/>
      <c r="AV453" s="193"/>
      <c r="AW453" s="193"/>
      <c r="AX453" s="193"/>
      <c r="AY453" s="193"/>
      <c r="AZ453" s="193"/>
      <c r="BA453" s="193"/>
      <c r="BB453" s="193"/>
      <c r="BC453" s="213"/>
    </row>
    <row r="454" spans="1:55" s="250" customFormat="1" ht="24" customHeight="1">
      <c r="A454" s="197"/>
      <c r="B454" s="198"/>
      <c r="C454" s="194"/>
      <c r="D454" s="193"/>
      <c r="E454" s="199"/>
      <c r="F454" s="195"/>
      <c r="G454" s="231"/>
      <c r="H454" s="264"/>
      <c r="I454" s="282"/>
      <c r="J454" s="197"/>
      <c r="K454" s="197"/>
      <c r="L454" s="230"/>
      <c r="M454" s="230"/>
      <c r="N454" s="202"/>
      <c r="O454" s="193" t="s">
        <v>35</v>
      </c>
      <c r="P454" s="203"/>
      <c r="Q454" s="203">
        <f t="shared" si="200"/>
        <v>0</v>
      </c>
      <c r="R454" s="203" t="s">
        <v>34</v>
      </c>
      <c r="S454" s="266">
        <v>0</v>
      </c>
      <c r="T454" s="204">
        <f t="shared" si="201"/>
        <v>0</v>
      </c>
      <c r="U454" s="204">
        <f t="shared" si="202"/>
        <v>0</v>
      </c>
      <c r="V454" s="197"/>
      <c r="W454" s="205"/>
      <c r="X454" s="195"/>
      <c r="Y454" s="220"/>
      <c r="Z454" s="221"/>
      <c r="AA454" s="208"/>
      <c r="AB454" s="220"/>
      <c r="AC454" s="207"/>
      <c r="AD454" s="207">
        <f>Y454+7</f>
        <v>7</v>
      </c>
      <c r="AE454" s="209">
        <f>AC454-AD454</f>
        <v>-7</v>
      </c>
      <c r="AF454" s="197"/>
      <c r="AG454" s="197"/>
      <c r="AH454" s="202">
        <f t="shared" si="198"/>
        <v>0</v>
      </c>
      <c r="AI454" s="210" t="e">
        <f>#REF!+5</f>
        <v>#REF!</v>
      </c>
      <c r="AJ454" s="197"/>
      <c r="AK454" s="211">
        <f t="shared" si="199"/>
        <v>0</v>
      </c>
      <c r="AL454" s="210">
        <f>Y454+90</f>
        <v>90</v>
      </c>
      <c r="AM454" s="197"/>
      <c r="AN454" s="202"/>
      <c r="AO454" s="202"/>
      <c r="AP454" s="202"/>
      <c r="AQ454" s="193"/>
      <c r="AR454" s="193"/>
      <c r="AS454" s="193"/>
      <c r="AT454" s="193"/>
      <c r="AU454" s="193"/>
      <c r="AV454" s="193"/>
      <c r="AW454" s="193"/>
      <c r="AX454" s="193"/>
      <c r="AY454" s="193"/>
      <c r="AZ454" s="193"/>
      <c r="BA454" s="193"/>
      <c r="BB454" s="193"/>
      <c r="BC454" s="213"/>
    </row>
    <row r="455" spans="1:55" s="250" customFormat="1" ht="24" customHeight="1">
      <c r="A455" s="197"/>
      <c r="B455" s="198"/>
      <c r="C455" s="198"/>
      <c r="D455" s="193"/>
      <c r="E455" s="198"/>
      <c r="F455" s="214"/>
      <c r="G455" s="198"/>
      <c r="H455" s="200"/>
      <c r="I455" s="277"/>
      <c r="J455" s="197"/>
      <c r="K455" s="197"/>
      <c r="L455" s="201"/>
      <c r="M455" s="201"/>
      <c r="N455" s="202"/>
      <c r="O455" s="193" t="s">
        <v>35</v>
      </c>
      <c r="P455" s="203"/>
      <c r="Q455" s="203">
        <f t="shared" si="200"/>
        <v>0</v>
      </c>
      <c r="R455" s="204" t="s">
        <v>45</v>
      </c>
      <c r="S455" s="266">
        <v>0</v>
      </c>
      <c r="T455" s="204">
        <f t="shared" si="201"/>
        <v>0</v>
      </c>
      <c r="U455" s="204">
        <f t="shared" si="202"/>
        <v>0</v>
      </c>
      <c r="V455" s="197"/>
      <c r="W455" s="205"/>
      <c r="X455" s="192"/>
      <c r="Y455" s="207"/>
      <c r="Z455" s="206"/>
      <c r="AA455" s="208"/>
      <c r="AB455" s="207"/>
      <c r="AC455" s="206"/>
      <c r="AD455" s="207">
        <f t="shared" si="172"/>
        <v>7</v>
      </c>
      <c r="AE455" s="209">
        <f t="shared" si="204"/>
        <v>-7</v>
      </c>
      <c r="AF455" s="197"/>
      <c r="AG455" s="197"/>
      <c r="AH455" s="202">
        <f t="shared" si="198"/>
        <v>0</v>
      </c>
      <c r="AI455" s="210" t="e">
        <f>#REF!+5</f>
        <v>#REF!</v>
      </c>
      <c r="AJ455" s="197"/>
      <c r="AK455" s="211">
        <f t="shared" si="199"/>
        <v>0</v>
      </c>
      <c r="AL455" s="210">
        <f>Y455+60</f>
        <v>60</v>
      </c>
      <c r="AM455" s="197"/>
      <c r="AN455" s="214"/>
      <c r="AO455" s="202"/>
      <c r="AP455" s="202"/>
      <c r="AQ455" s="193"/>
      <c r="AR455" s="193"/>
      <c r="AS455" s="193"/>
      <c r="AT455" s="193"/>
      <c r="AU455" s="193"/>
      <c r="AV455" s="193"/>
      <c r="AW455" s="193"/>
      <c r="AX455" s="193"/>
      <c r="AY455" s="193"/>
      <c r="AZ455" s="193"/>
      <c r="BA455" s="193"/>
      <c r="BB455" s="193"/>
      <c r="BC455" s="213"/>
    </row>
    <row r="456" spans="1:55" s="250" customFormat="1" ht="24" customHeight="1">
      <c r="A456" s="197"/>
      <c r="B456" s="198"/>
      <c r="C456" s="198"/>
      <c r="D456" s="193"/>
      <c r="E456" s="261"/>
      <c r="F456" s="214"/>
      <c r="G456" s="198"/>
      <c r="H456" s="200"/>
      <c r="I456" s="277"/>
      <c r="J456" s="197"/>
      <c r="K456" s="197"/>
      <c r="L456" s="265"/>
      <c r="M456" s="265"/>
      <c r="N456" s="263"/>
      <c r="O456" s="193" t="s">
        <v>31</v>
      </c>
      <c r="P456" s="266"/>
      <c r="Q456" s="266">
        <f t="shared" si="200"/>
        <v>0</v>
      </c>
      <c r="R456" s="267" t="s">
        <v>30</v>
      </c>
      <c r="S456" s="266">
        <v>0</v>
      </c>
      <c r="T456" s="267">
        <f t="shared" si="201"/>
        <v>0</v>
      </c>
      <c r="U456" s="267">
        <f t="shared" si="202"/>
        <v>0</v>
      </c>
      <c r="V456" s="197"/>
      <c r="W456" s="205"/>
      <c r="X456" s="269"/>
      <c r="Y456" s="207"/>
      <c r="Z456" s="206"/>
      <c r="AA456" s="208"/>
      <c r="AB456" s="207"/>
      <c r="AC456" s="206"/>
      <c r="AD456" s="207">
        <f t="shared" si="172"/>
        <v>7</v>
      </c>
      <c r="AE456" s="209">
        <f t="shared" si="173"/>
        <v>-7</v>
      </c>
      <c r="AF456" s="197"/>
      <c r="AG456" s="197"/>
      <c r="AH456" s="263">
        <f t="shared" si="198"/>
        <v>0</v>
      </c>
      <c r="AI456" s="274" t="e">
        <f>#REF!+5</f>
        <v>#REF!</v>
      </c>
      <c r="AJ456" s="260"/>
      <c r="AK456" s="211">
        <f t="shared" si="199"/>
        <v>0</v>
      </c>
      <c r="AL456" s="210">
        <f>Y456+60</f>
        <v>60</v>
      </c>
      <c r="AM456" s="197"/>
      <c r="AN456" s="214"/>
      <c r="AO456" s="202"/>
      <c r="AP456" s="202"/>
      <c r="AQ456" s="193"/>
      <c r="AR456" s="193"/>
      <c r="AS456" s="193"/>
      <c r="AT456" s="193"/>
      <c r="AU456" s="193"/>
      <c r="AV456" s="193"/>
      <c r="AW456" s="193"/>
      <c r="AX456" s="193"/>
      <c r="AY456" s="193"/>
      <c r="AZ456" s="193"/>
      <c r="BA456" s="193"/>
      <c r="BB456" s="193"/>
      <c r="BC456" s="213"/>
    </row>
    <row r="457" spans="1:55" s="42" customFormat="1" ht="24" customHeight="1">
      <c r="A457" s="47"/>
      <c r="B457" s="71"/>
      <c r="C457" s="71"/>
      <c r="D457" s="48"/>
      <c r="E457" s="26"/>
      <c r="F457" s="130"/>
      <c r="G457" s="71"/>
      <c r="H457" s="134"/>
      <c r="I457" s="137"/>
      <c r="J457" s="47"/>
      <c r="K457" s="47"/>
      <c r="L457" s="27"/>
      <c r="M457" s="27"/>
      <c r="N457" s="51"/>
      <c r="O457" s="48" t="s">
        <v>31</v>
      </c>
      <c r="P457" s="28"/>
      <c r="Q457" s="28">
        <f t="shared" si="200"/>
        <v>0</v>
      </c>
      <c r="R457" s="23" t="s">
        <v>30</v>
      </c>
      <c r="S457" s="28">
        <v>0</v>
      </c>
      <c r="T457" s="23">
        <f t="shared" si="201"/>
        <v>0</v>
      </c>
      <c r="U457" s="23">
        <f t="shared" si="202"/>
        <v>0</v>
      </c>
      <c r="V457" s="47"/>
      <c r="W457" s="127"/>
      <c r="X457" s="21"/>
      <c r="Y457" s="64"/>
      <c r="Z457" s="81"/>
      <c r="AA457" s="63"/>
      <c r="AB457" s="64"/>
      <c r="AC457" s="81"/>
      <c r="AD457" s="143">
        <f t="shared" si="172"/>
        <v>7</v>
      </c>
      <c r="AE457" s="128">
        <f t="shared" si="173"/>
        <v>-7</v>
      </c>
      <c r="AF457" s="47"/>
      <c r="AG457" s="47"/>
      <c r="AH457" s="51">
        <f t="shared" si="198"/>
        <v>0</v>
      </c>
      <c r="AI457" s="37" t="e">
        <f>#REF!+5</f>
        <v>#REF!</v>
      </c>
      <c r="AJ457" s="20"/>
      <c r="AK457" s="69">
        <f t="shared" si="199"/>
        <v>0</v>
      </c>
      <c r="AL457" s="68">
        <f>Y457+60</f>
        <v>60</v>
      </c>
      <c r="AM457" s="47"/>
      <c r="AN457" s="138"/>
      <c r="AO457" s="66"/>
      <c r="AP457" s="66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129"/>
    </row>
    <row r="458" spans="1:55" s="42" customFormat="1" ht="24" customHeight="1">
      <c r="A458" s="47"/>
      <c r="B458" s="71"/>
      <c r="C458" s="26"/>
      <c r="D458" s="48"/>
      <c r="E458" s="26"/>
      <c r="F458" s="57"/>
      <c r="G458" s="26"/>
      <c r="H458" s="117"/>
      <c r="I458" s="116"/>
      <c r="J458" s="20"/>
      <c r="K458" s="47"/>
      <c r="L458" s="27"/>
      <c r="M458" s="27"/>
      <c r="N458" s="51"/>
      <c r="O458" s="48" t="s">
        <v>31</v>
      </c>
      <c r="P458" s="28"/>
      <c r="Q458" s="28">
        <f t="shared" si="200"/>
        <v>0</v>
      </c>
      <c r="R458" s="23" t="s">
        <v>30</v>
      </c>
      <c r="S458" s="28">
        <v>0</v>
      </c>
      <c r="T458" s="23">
        <f t="shared" si="201"/>
        <v>0</v>
      </c>
      <c r="U458" s="23">
        <f t="shared" si="202"/>
        <v>0</v>
      </c>
      <c r="V458" s="20"/>
      <c r="W458" s="30"/>
      <c r="X458" s="21"/>
      <c r="Y458" s="32"/>
      <c r="Z458" s="56"/>
      <c r="AA458" s="55"/>
      <c r="AB458" s="32"/>
      <c r="AC458" s="81"/>
      <c r="AD458" s="143">
        <f t="shared" si="172"/>
        <v>7</v>
      </c>
      <c r="AE458" s="128">
        <f t="shared" si="173"/>
        <v>-7</v>
      </c>
      <c r="AF458" s="47"/>
      <c r="AG458" s="47"/>
      <c r="AH458" s="51">
        <f t="shared" si="198"/>
        <v>0</v>
      </c>
      <c r="AI458" s="37" t="e">
        <f>#REF!+5</f>
        <v>#REF!</v>
      </c>
      <c r="AJ458" s="20"/>
      <c r="AK458" s="69">
        <f t="shared" si="199"/>
        <v>0</v>
      </c>
      <c r="AL458" s="68">
        <f>Y458+60</f>
        <v>60</v>
      </c>
      <c r="AM458" s="47"/>
      <c r="AN458" s="138"/>
      <c r="AO458" s="66"/>
      <c r="AP458" s="66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</row>
    <row r="459" spans="1:55" s="42" customFormat="1" ht="24" customHeight="1">
      <c r="A459" s="47"/>
      <c r="B459" s="71"/>
      <c r="C459" s="26"/>
      <c r="D459" s="48"/>
      <c r="E459" s="26"/>
      <c r="F459" s="57"/>
      <c r="G459" s="26"/>
      <c r="H459" s="117"/>
      <c r="I459" s="116"/>
      <c r="J459" s="20"/>
      <c r="K459" s="47"/>
      <c r="L459" s="27"/>
      <c r="M459" s="27"/>
      <c r="N459" s="51"/>
      <c r="O459" s="48" t="s">
        <v>31</v>
      </c>
      <c r="P459" s="28"/>
      <c r="Q459" s="28">
        <f t="shared" si="200"/>
        <v>0</v>
      </c>
      <c r="R459" s="23" t="s">
        <v>30</v>
      </c>
      <c r="S459" s="28">
        <v>0</v>
      </c>
      <c r="T459" s="23">
        <f t="shared" si="201"/>
        <v>0</v>
      </c>
      <c r="U459" s="23">
        <f t="shared" si="202"/>
        <v>0</v>
      </c>
      <c r="V459" s="20"/>
      <c r="W459" s="30"/>
      <c r="X459" s="21"/>
      <c r="Y459" s="32"/>
      <c r="Z459" s="56"/>
      <c r="AA459" s="55"/>
      <c r="AB459" s="32"/>
      <c r="AC459" s="81"/>
      <c r="AD459" s="143">
        <f t="shared" si="172"/>
        <v>7</v>
      </c>
      <c r="AE459" s="128">
        <f t="shared" si="173"/>
        <v>-7</v>
      </c>
      <c r="AF459" s="47"/>
      <c r="AG459" s="20"/>
      <c r="AH459" s="51">
        <f t="shared" si="198"/>
        <v>0</v>
      </c>
      <c r="AI459" s="37" t="e">
        <f>#REF!+5</f>
        <v>#REF!</v>
      </c>
      <c r="AJ459" s="20"/>
      <c r="AK459" s="69">
        <f t="shared" si="199"/>
        <v>0</v>
      </c>
      <c r="AL459" s="68">
        <f>Y459+60</f>
        <v>60</v>
      </c>
      <c r="AM459" s="47"/>
      <c r="AN459" s="138"/>
      <c r="AO459" s="66"/>
      <c r="AP459" s="66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</row>
    <row r="460" spans="1:55" s="42" customFormat="1" ht="24" customHeight="1">
      <c r="A460" s="47"/>
      <c r="B460" s="71"/>
      <c r="C460" s="71"/>
      <c r="D460" s="132"/>
      <c r="E460" s="150"/>
      <c r="F460" s="149"/>
      <c r="G460" s="152"/>
      <c r="H460" s="117"/>
      <c r="I460" s="117"/>
      <c r="J460" s="47"/>
      <c r="K460" s="47"/>
      <c r="L460" s="151"/>
      <c r="M460" s="151"/>
      <c r="N460" s="51"/>
      <c r="O460" s="48" t="s">
        <v>31</v>
      </c>
      <c r="P460" s="28"/>
      <c r="Q460" s="28">
        <f t="shared" si="200"/>
        <v>0</v>
      </c>
      <c r="R460" s="23" t="s">
        <v>30</v>
      </c>
      <c r="S460" s="28">
        <v>0</v>
      </c>
      <c r="T460" s="23">
        <f t="shared" si="201"/>
        <v>0</v>
      </c>
      <c r="U460" s="23">
        <f t="shared" si="202"/>
        <v>0</v>
      </c>
      <c r="V460" s="20"/>
      <c r="W460" s="30"/>
      <c r="X460" s="21"/>
      <c r="Y460" s="32"/>
      <c r="Z460" s="56"/>
      <c r="AA460" s="63"/>
      <c r="AB460" s="32"/>
      <c r="AC460" s="56"/>
      <c r="AD460" s="143">
        <f t="shared" si="172"/>
        <v>7</v>
      </c>
      <c r="AE460" s="128">
        <f t="shared" si="173"/>
        <v>-7</v>
      </c>
      <c r="AF460" s="47"/>
      <c r="AG460" s="47"/>
      <c r="AH460" s="51">
        <f t="shared" si="198"/>
        <v>0</v>
      </c>
      <c r="AI460" s="37" t="e">
        <f>#REF!+5</f>
        <v>#REF!</v>
      </c>
      <c r="AJ460" s="20"/>
      <c r="AK460" s="69">
        <f t="shared" si="199"/>
        <v>0</v>
      </c>
      <c r="AL460" s="68">
        <f t="shared" ref="AL460:AL466" si="205">Y460+90</f>
        <v>90</v>
      </c>
      <c r="AM460" s="47"/>
      <c r="AN460" s="66"/>
      <c r="AO460" s="60"/>
      <c r="AP460" s="60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129"/>
    </row>
    <row r="461" spans="1:55" s="42" customFormat="1" ht="24" customHeight="1">
      <c r="A461" s="47"/>
      <c r="B461" s="71"/>
      <c r="C461" s="71"/>
      <c r="D461" s="132"/>
      <c r="E461" s="150"/>
      <c r="F461" s="149"/>
      <c r="G461" s="152"/>
      <c r="H461" s="117"/>
      <c r="I461" s="117"/>
      <c r="J461" s="47"/>
      <c r="K461" s="47"/>
      <c r="L461" s="151"/>
      <c r="M461" s="151"/>
      <c r="N461" s="51"/>
      <c r="O461" s="48" t="s">
        <v>31</v>
      </c>
      <c r="P461" s="28"/>
      <c r="Q461" s="28">
        <f t="shared" si="200"/>
        <v>0</v>
      </c>
      <c r="R461" s="23" t="s">
        <v>30</v>
      </c>
      <c r="S461" s="28">
        <v>0</v>
      </c>
      <c r="T461" s="23">
        <f t="shared" si="201"/>
        <v>0</v>
      </c>
      <c r="U461" s="23">
        <f t="shared" si="202"/>
        <v>0</v>
      </c>
      <c r="V461" s="20"/>
      <c r="W461" s="30"/>
      <c r="X461" s="21"/>
      <c r="Y461" s="32"/>
      <c r="Z461" s="56"/>
      <c r="AA461" s="63"/>
      <c r="AB461" s="32"/>
      <c r="AC461" s="56"/>
      <c r="AD461" s="143">
        <f t="shared" si="172"/>
        <v>7</v>
      </c>
      <c r="AE461" s="128">
        <f t="shared" si="173"/>
        <v>-7</v>
      </c>
      <c r="AF461" s="47"/>
      <c r="AG461" s="47"/>
      <c r="AH461" s="51">
        <f t="shared" si="198"/>
        <v>0</v>
      </c>
      <c r="AI461" s="37" t="e">
        <f>#REF!+5</f>
        <v>#REF!</v>
      </c>
      <c r="AJ461" s="20"/>
      <c r="AK461" s="69">
        <f t="shared" si="199"/>
        <v>0</v>
      </c>
      <c r="AL461" s="68">
        <f t="shared" si="205"/>
        <v>90</v>
      </c>
      <c r="AM461" s="47"/>
      <c r="AN461" s="66"/>
      <c r="AO461" s="60"/>
      <c r="AP461" s="60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129"/>
    </row>
    <row r="462" spans="1:55" s="42" customFormat="1" ht="24" customHeight="1">
      <c r="A462" s="47"/>
      <c r="B462" s="71"/>
      <c r="C462" s="71"/>
      <c r="D462" s="132"/>
      <c r="E462" s="150"/>
      <c r="F462" s="149"/>
      <c r="G462" s="152"/>
      <c r="H462" s="117"/>
      <c r="I462" s="117"/>
      <c r="J462" s="47"/>
      <c r="K462" s="47"/>
      <c r="L462" s="151"/>
      <c r="M462" s="151"/>
      <c r="N462" s="51"/>
      <c r="O462" s="48" t="s">
        <v>31</v>
      </c>
      <c r="P462" s="28"/>
      <c r="Q462" s="28">
        <f t="shared" si="200"/>
        <v>0</v>
      </c>
      <c r="R462" s="23" t="s">
        <v>30</v>
      </c>
      <c r="S462" s="28">
        <v>0</v>
      </c>
      <c r="T462" s="23">
        <f t="shared" si="201"/>
        <v>0</v>
      </c>
      <c r="U462" s="23">
        <f t="shared" si="202"/>
        <v>0</v>
      </c>
      <c r="V462" s="20"/>
      <c r="W462" s="30"/>
      <c r="X462" s="21"/>
      <c r="Y462" s="32"/>
      <c r="Z462" s="56"/>
      <c r="AA462" s="63"/>
      <c r="AB462" s="32"/>
      <c r="AC462" s="56"/>
      <c r="AD462" s="143">
        <f t="shared" si="172"/>
        <v>7</v>
      </c>
      <c r="AE462" s="128">
        <f t="shared" si="173"/>
        <v>-7</v>
      </c>
      <c r="AF462" s="47"/>
      <c r="AG462" s="47"/>
      <c r="AH462" s="51">
        <f t="shared" si="198"/>
        <v>0</v>
      </c>
      <c r="AI462" s="37" t="e">
        <f>#REF!+5</f>
        <v>#REF!</v>
      </c>
      <c r="AJ462" s="20"/>
      <c r="AK462" s="69">
        <f t="shared" si="199"/>
        <v>0</v>
      </c>
      <c r="AL462" s="68">
        <f t="shared" si="205"/>
        <v>90</v>
      </c>
      <c r="AM462" s="47"/>
      <c r="AN462" s="66"/>
      <c r="AO462" s="60"/>
      <c r="AP462" s="60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129"/>
    </row>
    <row r="463" spans="1:55" s="42" customFormat="1" ht="24" customHeight="1">
      <c r="A463" s="47"/>
      <c r="B463" s="71"/>
      <c r="C463" s="71"/>
      <c r="D463" s="132"/>
      <c r="E463" s="150"/>
      <c r="F463" s="149"/>
      <c r="G463" s="152"/>
      <c r="H463" s="117"/>
      <c r="I463" s="117"/>
      <c r="J463" s="47"/>
      <c r="K463" s="47"/>
      <c r="L463" s="151"/>
      <c r="M463" s="151"/>
      <c r="N463" s="51"/>
      <c r="O463" s="48" t="s">
        <v>31</v>
      </c>
      <c r="P463" s="28"/>
      <c r="Q463" s="28">
        <f t="shared" si="200"/>
        <v>0</v>
      </c>
      <c r="R463" s="23" t="s">
        <v>30</v>
      </c>
      <c r="S463" s="28">
        <v>0</v>
      </c>
      <c r="T463" s="23">
        <f t="shared" si="201"/>
        <v>0</v>
      </c>
      <c r="U463" s="23">
        <f t="shared" si="202"/>
        <v>0</v>
      </c>
      <c r="V463" s="20"/>
      <c r="W463" s="30"/>
      <c r="X463" s="21"/>
      <c r="Y463" s="32"/>
      <c r="Z463" s="56"/>
      <c r="AA463" s="63"/>
      <c r="AB463" s="32"/>
      <c r="AC463" s="56"/>
      <c r="AD463" s="143">
        <f t="shared" si="172"/>
        <v>7</v>
      </c>
      <c r="AE463" s="128">
        <f t="shared" si="173"/>
        <v>-7</v>
      </c>
      <c r="AF463" s="47"/>
      <c r="AG463" s="47"/>
      <c r="AH463" s="51">
        <f t="shared" si="198"/>
        <v>0</v>
      </c>
      <c r="AI463" s="37" t="e">
        <f>#REF!+5</f>
        <v>#REF!</v>
      </c>
      <c r="AJ463" s="20"/>
      <c r="AK463" s="69">
        <f t="shared" si="199"/>
        <v>0</v>
      </c>
      <c r="AL463" s="68">
        <f t="shared" si="205"/>
        <v>90</v>
      </c>
      <c r="AM463" s="47"/>
      <c r="AN463" s="66"/>
      <c r="AO463" s="60"/>
      <c r="AP463" s="60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129"/>
    </row>
    <row r="464" spans="1:55" s="42" customFormat="1" ht="24" customHeight="1">
      <c r="A464" s="47"/>
      <c r="B464" s="71"/>
      <c r="C464" s="71"/>
      <c r="D464" s="132"/>
      <c r="E464" s="150"/>
      <c r="F464" s="149"/>
      <c r="G464" s="152"/>
      <c r="H464" s="117"/>
      <c r="I464" s="117"/>
      <c r="J464" s="47"/>
      <c r="K464" s="47"/>
      <c r="L464" s="151"/>
      <c r="M464" s="151"/>
      <c r="N464" s="51"/>
      <c r="O464" s="48" t="s">
        <v>31</v>
      </c>
      <c r="P464" s="28"/>
      <c r="Q464" s="28">
        <f t="shared" si="200"/>
        <v>0</v>
      </c>
      <c r="R464" s="23" t="s">
        <v>30</v>
      </c>
      <c r="S464" s="28">
        <v>0</v>
      </c>
      <c r="T464" s="23">
        <f t="shared" si="201"/>
        <v>0</v>
      </c>
      <c r="U464" s="23">
        <f t="shared" si="202"/>
        <v>0</v>
      </c>
      <c r="V464" s="20"/>
      <c r="W464" s="30"/>
      <c r="X464" s="21"/>
      <c r="Y464" s="32"/>
      <c r="Z464" s="56"/>
      <c r="AA464" s="63"/>
      <c r="AB464" s="32"/>
      <c r="AC464" s="56"/>
      <c r="AD464" s="143">
        <f t="shared" si="172"/>
        <v>7</v>
      </c>
      <c r="AE464" s="128">
        <f t="shared" si="173"/>
        <v>-7</v>
      </c>
      <c r="AF464" s="47"/>
      <c r="AG464" s="47"/>
      <c r="AH464" s="51">
        <f t="shared" si="198"/>
        <v>0</v>
      </c>
      <c r="AI464" s="37" t="e">
        <f>#REF!+5</f>
        <v>#REF!</v>
      </c>
      <c r="AJ464" s="20"/>
      <c r="AK464" s="69">
        <f t="shared" si="199"/>
        <v>0</v>
      </c>
      <c r="AL464" s="68">
        <f t="shared" si="205"/>
        <v>90</v>
      </c>
      <c r="AM464" s="47"/>
      <c r="AN464" s="66"/>
      <c r="AO464" s="60"/>
      <c r="AP464" s="60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129"/>
    </row>
    <row r="465" spans="1:55" s="42" customFormat="1" ht="24" customHeight="1">
      <c r="A465" s="13"/>
      <c r="B465" s="9"/>
      <c r="C465" s="26"/>
      <c r="D465" s="22"/>
      <c r="E465" s="26"/>
      <c r="F465" s="57"/>
      <c r="G465" s="26"/>
      <c r="H465" s="117"/>
      <c r="I465" s="117"/>
      <c r="J465" s="20"/>
      <c r="K465" s="20"/>
      <c r="L465" s="27"/>
      <c r="M465" s="27"/>
      <c r="N465" s="51"/>
      <c r="O465" s="48" t="s">
        <v>31</v>
      </c>
      <c r="P465" s="28"/>
      <c r="Q465" s="28">
        <f t="shared" ref="Q465:Q472" si="206">M465*P465</f>
        <v>0</v>
      </c>
      <c r="R465" s="23" t="s">
        <v>30</v>
      </c>
      <c r="S465" s="28">
        <v>0</v>
      </c>
      <c r="T465" s="23">
        <f t="shared" ref="T465:T472" si="207">M465*S465</f>
        <v>0</v>
      </c>
      <c r="U465" s="23">
        <f t="shared" ref="U465:U472" si="208">P465-S465</f>
        <v>0</v>
      </c>
      <c r="V465" s="20"/>
      <c r="W465" s="30"/>
      <c r="X465" s="21"/>
      <c r="Y465" s="32"/>
      <c r="Z465" s="56"/>
      <c r="AA465" s="55"/>
      <c r="AB465" s="32"/>
      <c r="AC465" s="56"/>
      <c r="AD465" s="143">
        <f t="shared" ref="AD465:AD472" si="209">Y465+7</f>
        <v>7</v>
      </c>
      <c r="AE465" s="128">
        <f t="shared" ref="AE465:AE472" si="210">AC465-AD465</f>
        <v>-7</v>
      </c>
      <c r="AF465" s="20"/>
      <c r="AG465" s="20"/>
      <c r="AH465" s="51">
        <f t="shared" si="198"/>
        <v>0</v>
      </c>
      <c r="AI465" s="37" t="e">
        <f>#REF!+5</f>
        <v>#REF!</v>
      </c>
      <c r="AJ465" s="20"/>
      <c r="AK465" s="24">
        <f t="shared" si="199"/>
        <v>0</v>
      </c>
      <c r="AL465" s="37">
        <f t="shared" si="205"/>
        <v>90</v>
      </c>
      <c r="AM465" s="20"/>
      <c r="AN465" s="60"/>
      <c r="AO465" s="135"/>
      <c r="AP465" s="135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</row>
    <row r="466" spans="1:55" s="42" customFormat="1" ht="24" customHeight="1">
      <c r="A466" s="13"/>
      <c r="B466" s="9"/>
      <c r="C466" s="26"/>
      <c r="D466" s="22"/>
      <c r="E466" s="26"/>
      <c r="F466" s="57"/>
      <c r="G466" s="26"/>
      <c r="H466" s="117"/>
      <c r="I466" s="117"/>
      <c r="J466" s="20"/>
      <c r="K466" s="20"/>
      <c r="L466" s="27"/>
      <c r="M466" s="27"/>
      <c r="N466" s="51"/>
      <c r="O466" s="48" t="s">
        <v>31</v>
      </c>
      <c r="P466" s="28"/>
      <c r="Q466" s="28">
        <f t="shared" si="206"/>
        <v>0</v>
      </c>
      <c r="R466" s="23" t="s">
        <v>30</v>
      </c>
      <c r="S466" s="28">
        <v>0</v>
      </c>
      <c r="T466" s="23">
        <f t="shared" si="207"/>
        <v>0</v>
      </c>
      <c r="U466" s="23">
        <f t="shared" si="208"/>
        <v>0</v>
      </c>
      <c r="V466" s="20"/>
      <c r="W466" s="30"/>
      <c r="X466" s="21"/>
      <c r="Y466" s="32"/>
      <c r="Z466" s="56"/>
      <c r="AA466" s="55"/>
      <c r="AB466" s="32"/>
      <c r="AC466" s="56"/>
      <c r="AD466" s="143">
        <f t="shared" si="209"/>
        <v>7</v>
      </c>
      <c r="AE466" s="128">
        <f t="shared" si="210"/>
        <v>-7</v>
      </c>
      <c r="AF466" s="20"/>
      <c r="AG466" s="20"/>
      <c r="AH466" s="51">
        <f t="shared" si="198"/>
        <v>0</v>
      </c>
      <c r="AI466" s="37" t="e">
        <f>#REF!+5</f>
        <v>#REF!</v>
      </c>
      <c r="AJ466" s="20"/>
      <c r="AK466" s="24">
        <f t="shared" si="199"/>
        <v>0</v>
      </c>
      <c r="AL466" s="37">
        <f t="shared" si="205"/>
        <v>90</v>
      </c>
      <c r="AM466" s="20"/>
      <c r="AN466" s="60"/>
      <c r="AO466" s="135"/>
      <c r="AP466" s="135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</row>
    <row r="467" spans="1:55" s="129" customFormat="1" ht="24" customHeight="1">
      <c r="A467" s="47"/>
      <c r="B467" s="71"/>
      <c r="C467" s="71"/>
      <c r="D467" s="48"/>
      <c r="E467" s="71"/>
      <c r="F467" s="130"/>
      <c r="G467" s="71"/>
      <c r="H467" s="134"/>
      <c r="I467" s="134"/>
      <c r="J467" s="47"/>
      <c r="K467" s="47"/>
      <c r="L467" s="76"/>
      <c r="M467" s="76"/>
      <c r="N467" s="66"/>
      <c r="O467" s="48" t="s">
        <v>35</v>
      </c>
      <c r="P467" s="72"/>
      <c r="Q467" s="72">
        <f t="shared" si="206"/>
        <v>0</v>
      </c>
      <c r="R467" s="67" t="s">
        <v>34</v>
      </c>
      <c r="S467" s="28">
        <v>0</v>
      </c>
      <c r="T467" s="67">
        <f t="shared" si="207"/>
        <v>0</v>
      </c>
      <c r="U467" s="67">
        <f t="shared" si="208"/>
        <v>0</v>
      </c>
      <c r="V467" s="47"/>
      <c r="W467" s="127"/>
      <c r="X467" s="85"/>
      <c r="Y467" s="64"/>
      <c r="Z467" s="81"/>
      <c r="AA467" s="63"/>
      <c r="AB467" s="64"/>
      <c r="AC467" s="81"/>
      <c r="AD467" s="143">
        <f t="shared" si="209"/>
        <v>7</v>
      </c>
      <c r="AE467" s="128">
        <f t="shared" si="210"/>
        <v>-7</v>
      </c>
      <c r="AF467" s="47"/>
      <c r="AG467" s="47"/>
      <c r="AH467" s="66">
        <f t="shared" si="198"/>
        <v>0</v>
      </c>
      <c r="AI467" s="68" t="e">
        <f>#REF!+5</f>
        <v>#REF!</v>
      </c>
      <c r="AJ467" s="47"/>
      <c r="AK467" s="69">
        <f t="shared" si="199"/>
        <v>0</v>
      </c>
      <c r="AL467" s="68">
        <f>Y467+60</f>
        <v>60</v>
      </c>
      <c r="AM467" s="47"/>
      <c r="AN467" s="60"/>
      <c r="AO467" s="66"/>
      <c r="AP467" s="66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</row>
    <row r="468" spans="1:55" s="129" customFormat="1" ht="20.100000000000001" customHeight="1">
      <c r="A468" s="47"/>
      <c r="B468" s="71"/>
      <c r="C468" s="71"/>
      <c r="D468" s="48"/>
      <c r="E468" s="118"/>
      <c r="F468" s="153"/>
      <c r="G468" s="118"/>
      <c r="H468" s="134"/>
      <c r="I468" s="133"/>
      <c r="J468" s="47"/>
      <c r="K468" s="47"/>
      <c r="L468" s="76"/>
      <c r="M468" s="131"/>
      <c r="N468" s="66"/>
      <c r="O468" s="48" t="s">
        <v>31</v>
      </c>
      <c r="P468" s="72"/>
      <c r="Q468" s="72">
        <f t="shared" si="206"/>
        <v>0</v>
      </c>
      <c r="R468" s="67" t="s">
        <v>30</v>
      </c>
      <c r="S468" s="28">
        <v>0</v>
      </c>
      <c r="T468" s="67">
        <f t="shared" si="207"/>
        <v>0</v>
      </c>
      <c r="U468" s="67">
        <f t="shared" si="208"/>
        <v>0</v>
      </c>
      <c r="V468" s="47"/>
      <c r="W468" s="127"/>
      <c r="X468" s="85"/>
      <c r="Y468" s="64"/>
      <c r="Z468" s="81"/>
      <c r="AA468" s="63"/>
      <c r="AB468" s="64"/>
      <c r="AC468" s="81"/>
      <c r="AD468" s="64">
        <f t="shared" si="209"/>
        <v>7</v>
      </c>
      <c r="AE468" s="128">
        <f t="shared" si="210"/>
        <v>-7</v>
      </c>
      <c r="AF468" s="47"/>
      <c r="AG468" s="47"/>
      <c r="AH468" s="66">
        <f t="shared" si="198"/>
        <v>0</v>
      </c>
      <c r="AI468" s="68" t="e">
        <f>#REF!+5</f>
        <v>#REF!</v>
      </c>
      <c r="AJ468" s="47"/>
      <c r="AK468" s="69">
        <f t="shared" si="199"/>
        <v>0</v>
      </c>
      <c r="AL468" s="68">
        <f>Y468+60</f>
        <v>60</v>
      </c>
      <c r="AM468" s="47"/>
      <c r="AN468" s="66"/>
      <c r="AO468" s="118"/>
      <c r="AP468" s="11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377"/>
    </row>
    <row r="469" spans="1:55" s="129" customFormat="1" ht="20.100000000000001" customHeight="1">
      <c r="A469" s="47"/>
      <c r="B469" s="71"/>
      <c r="C469" s="71"/>
      <c r="D469" s="48"/>
      <c r="E469" s="118"/>
      <c r="F469" s="153"/>
      <c r="G469" s="118"/>
      <c r="H469" s="134"/>
      <c r="I469" s="133"/>
      <c r="J469" s="47"/>
      <c r="K469" s="47"/>
      <c r="L469" s="76"/>
      <c r="M469" s="131"/>
      <c r="N469" s="66"/>
      <c r="O469" s="48" t="s">
        <v>31</v>
      </c>
      <c r="P469" s="72"/>
      <c r="Q469" s="72">
        <f t="shared" si="206"/>
        <v>0</v>
      </c>
      <c r="R469" s="67" t="s">
        <v>30</v>
      </c>
      <c r="S469" s="28">
        <v>0</v>
      </c>
      <c r="T469" s="67">
        <f t="shared" si="207"/>
        <v>0</v>
      </c>
      <c r="U469" s="67">
        <f t="shared" si="208"/>
        <v>0</v>
      </c>
      <c r="V469" s="47"/>
      <c r="W469" s="127"/>
      <c r="X469" s="85"/>
      <c r="Y469" s="64"/>
      <c r="Z469" s="81"/>
      <c r="AA469" s="63"/>
      <c r="AB469" s="64"/>
      <c r="AC469" s="81"/>
      <c r="AD469" s="64">
        <f t="shared" si="209"/>
        <v>7</v>
      </c>
      <c r="AE469" s="128">
        <f t="shared" si="210"/>
        <v>-7</v>
      </c>
      <c r="AF469" s="47"/>
      <c r="AG469" s="47"/>
      <c r="AH469" s="66">
        <f t="shared" ref="AH469:AH523" si="211">L469-M469</f>
        <v>0</v>
      </c>
      <c r="AI469" s="68" t="e">
        <f>#REF!+5</f>
        <v>#REF!</v>
      </c>
      <c r="AJ469" s="47"/>
      <c r="AK469" s="69">
        <f t="shared" ref="AK469:AK523" si="212">Y469-I469</f>
        <v>0</v>
      </c>
      <c r="AL469" s="68">
        <f>Y469+60</f>
        <v>60</v>
      </c>
      <c r="AM469" s="47"/>
      <c r="AN469" s="66"/>
      <c r="AO469" s="118"/>
      <c r="AP469" s="11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377"/>
    </row>
    <row r="470" spans="1:55" s="129" customFormat="1" ht="20.100000000000001" customHeight="1">
      <c r="A470" s="47"/>
      <c r="B470" s="71"/>
      <c r="C470" s="71"/>
      <c r="D470" s="48"/>
      <c r="E470" s="118"/>
      <c r="F470" s="153"/>
      <c r="G470" s="118"/>
      <c r="H470" s="134"/>
      <c r="I470" s="133"/>
      <c r="J470" s="47"/>
      <c r="K470" s="47"/>
      <c r="L470" s="76"/>
      <c r="M470" s="131"/>
      <c r="N470" s="66"/>
      <c r="O470" s="48" t="s">
        <v>31</v>
      </c>
      <c r="P470" s="72"/>
      <c r="Q470" s="72">
        <f t="shared" si="206"/>
        <v>0</v>
      </c>
      <c r="R470" s="67" t="s">
        <v>30</v>
      </c>
      <c r="S470" s="28">
        <v>0</v>
      </c>
      <c r="T470" s="67">
        <f t="shared" si="207"/>
        <v>0</v>
      </c>
      <c r="U470" s="67">
        <f t="shared" si="208"/>
        <v>0</v>
      </c>
      <c r="V470" s="47"/>
      <c r="W470" s="127"/>
      <c r="X470" s="85"/>
      <c r="Y470" s="64"/>
      <c r="Z470" s="81"/>
      <c r="AA470" s="63"/>
      <c r="AB470" s="64"/>
      <c r="AC470" s="81"/>
      <c r="AD470" s="64">
        <f t="shared" si="209"/>
        <v>7</v>
      </c>
      <c r="AE470" s="128">
        <f t="shared" si="210"/>
        <v>-7</v>
      </c>
      <c r="AF470" s="47"/>
      <c r="AG470" s="47"/>
      <c r="AH470" s="66">
        <f t="shared" si="211"/>
        <v>0</v>
      </c>
      <c r="AI470" s="68" t="e">
        <f>#REF!+5</f>
        <v>#REF!</v>
      </c>
      <c r="AJ470" s="47"/>
      <c r="AK470" s="69">
        <f t="shared" si="212"/>
        <v>0</v>
      </c>
      <c r="AL470" s="68">
        <f>Y470+60</f>
        <v>60</v>
      </c>
      <c r="AM470" s="47"/>
      <c r="AN470" s="66"/>
      <c r="AO470" s="118"/>
      <c r="AP470" s="11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377"/>
    </row>
    <row r="471" spans="1:55" s="42" customFormat="1" ht="24" customHeight="1">
      <c r="A471" s="13"/>
      <c r="B471" s="9"/>
      <c r="C471" s="26"/>
      <c r="D471" s="15"/>
      <c r="E471" s="26"/>
      <c r="F471" s="57"/>
      <c r="G471" s="26"/>
      <c r="H471" s="117"/>
      <c r="I471" s="133"/>
      <c r="J471" s="20"/>
      <c r="K471" s="20"/>
      <c r="L471" s="27"/>
      <c r="M471" s="27"/>
      <c r="N471" s="51"/>
      <c r="O471" s="48" t="s">
        <v>31</v>
      </c>
      <c r="P471" s="28"/>
      <c r="Q471" s="28">
        <f t="shared" si="206"/>
        <v>0</v>
      </c>
      <c r="R471" s="23" t="s">
        <v>30</v>
      </c>
      <c r="S471" s="28">
        <v>0</v>
      </c>
      <c r="T471" s="23">
        <f t="shared" si="207"/>
        <v>0</v>
      </c>
      <c r="U471" s="23">
        <f t="shared" si="208"/>
        <v>0</v>
      </c>
      <c r="V471" s="20"/>
      <c r="W471" s="30"/>
      <c r="X471" s="147"/>
      <c r="Y471" s="32"/>
      <c r="Z471" s="56"/>
      <c r="AA471" s="55"/>
      <c r="AB471" s="32"/>
      <c r="AC471" s="56"/>
      <c r="AD471" s="143">
        <f t="shared" si="209"/>
        <v>7</v>
      </c>
      <c r="AE471" s="128">
        <f t="shared" si="210"/>
        <v>-7</v>
      </c>
      <c r="AF471" s="20"/>
      <c r="AG471" s="20"/>
      <c r="AH471" s="144">
        <f t="shared" si="211"/>
        <v>0</v>
      </c>
      <c r="AI471" s="145" t="e">
        <f>#REF!+5</f>
        <v>#REF!</v>
      </c>
      <c r="AJ471" s="142"/>
      <c r="AK471" s="146">
        <f t="shared" si="212"/>
        <v>0</v>
      </c>
      <c r="AL471" s="145">
        <f>Y471+90</f>
        <v>90</v>
      </c>
      <c r="AM471" s="20"/>
      <c r="AN471" s="51"/>
      <c r="AO471" s="135"/>
      <c r="AP471" s="135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</row>
    <row r="472" spans="1:55" s="42" customFormat="1" ht="24" customHeight="1">
      <c r="A472" s="13"/>
      <c r="B472" s="9"/>
      <c r="C472" s="26"/>
      <c r="D472" s="15"/>
      <c r="E472" s="26"/>
      <c r="F472" s="57"/>
      <c r="G472" s="26"/>
      <c r="H472" s="117"/>
      <c r="I472" s="133"/>
      <c r="J472" s="20"/>
      <c r="K472" s="20"/>
      <c r="L472" s="27"/>
      <c r="M472" s="27"/>
      <c r="N472" s="51"/>
      <c r="O472" s="48" t="s">
        <v>31</v>
      </c>
      <c r="P472" s="28"/>
      <c r="Q472" s="28">
        <f t="shared" si="206"/>
        <v>0</v>
      </c>
      <c r="R472" s="23" t="s">
        <v>30</v>
      </c>
      <c r="S472" s="28">
        <v>0</v>
      </c>
      <c r="T472" s="23">
        <f t="shared" si="207"/>
        <v>0</v>
      </c>
      <c r="U472" s="23">
        <f t="shared" si="208"/>
        <v>0</v>
      </c>
      <c r="V472" s="20"/>
      <c r="W472" s="30"/>
      <c r="X472" s="147"/>
      <c r="Y472" s="32"/>
      <c r="Z472" s="56"/>
      <c r="AA472" s="55"/>
      <c r="AB472" s="32"/>
      <c r="AC472" s="56"/>
      <c r="AD472" s="143">
        <f t="shared" si="209"/>
        <v>7</v>
      </c>
      <c r="AE472" s="128">
        <f t="shared" si="210"/>
        <v>-7</v>
      </c>
      <c r="AF472" s="20"/>
      <c r="AG472" s="20"/>
      <c r="AH472" s="144">
        <f t="shared" si="211"/>
        <v>0</v>
      </c>
      <c r="AI472" s="145" t="e">
        <f>#REF!+5</f>
        <v>#REF!</v>
      </c>
      <c r="AJ472" s="142"/>
      <c r="AK472" s="146">
        <f t="shared" si="212"/>
        <v>0</v>
      </c>
      <c r="AL472" s="145">
        <f>Y472+90</f>
        <v>90</v>
      </c>
      <c r="AM472" s="20"/>
      <c r="AN472" s="51"/>
      <c r="AO472" s="135"/>
      <c r="AP472" s="135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</row>
    <row r="473" spans="1:55" s="42" customFormat="1" ht="24" customHeight="1">
      <c r="A473" s="13"/>
      <c r="B473" s="9"/>
      <c r="C473" s="26"/>
      <c r="D473" s="15"/>
      <c r="E473" s="26"/>
      <c r="F473" s="57"/>
      <c r="G473" s="26"/>
      <c r="H473" s="117"/>
      <c r="I473" s="133"/>
      <c r="J473" s="20"/>
      <c r="K473" s="20"/>
      <c r="L473" s="27"/>
      <c r="M473" s="27"/>
      <c r="N473" s="51"/>
      <c r="O473" s="48" t="s">
        <v>31</v>
      </c>
      <c r="P473" s="28"/>
      <c r="Q473" s="28">
        <f t="shared" ref="Q473:Q480" si="213">M473*P473</f>
        <v>0</v>
      </c>
      <c r="R473" s="23" t="s">
        <v>30</v>
      </c>
      <c r="S473" s="28">
        <v>0</v>
      </c>
      <c r="T473" s="23">
        <f t="shared" ref="T473:T480" si="214">M473*S473</f>
        <v>0</v>
      </c>
      <c r="U473" s="23">
        <f t="shared" ref="U473:U480" si="215">P473-S473</f>
        <v>0</v>
      </c>
      <c r="V473" s="20"/>
      <c r="W473" s="30"/>
      <c r="X473" s="147"/>
      <c r="Y473" s="32"/>
      <c r="Z473" s="56"/>
      <c r="AA473" s="55"/>
      <c r="AB473" s="32"/>
      <c r="AC473" s="56"/>
      <c r="AD473" s="143">
        <f t="shared" ref="AD473:AD480" si="216">Y473+7</f>
        <v>7</v>
      </c>
      <c r="AE473" s="128">
        <f t="shared" ref="AE473:AE480" si="217">AC473-AD473</f>
        <v>-7</v>
      </c>
      <c r="AF473" s="20"/>
      <c r="AG473" s="20"/>
      <c r="AH473" s="144">
        <f t="shared" si="211"/>
        <v>0</v>
      </c>
      <c r="AI473" s="145" t="e">
        <f>#REF!+5</f>
        <v>#REF!</v>
      </c>
      <c r="AJ473" s="142"/>
      <c r="AK473" s="146">
        <f t="shared" si="212"/>
        <v>0</v>
      </c>
      <c r="AL473" s="145">
        <f>Y473+90</f>
        <v>90</v>
      </c>
      <c r="AM473" s="20"/>
      <c r="AN473" s="51"/>
      <c r="AO473" s="135"/>
      <c r="AP473" s="135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</row>
    <row r="474" spans="1:55" s="42" customFormat="1" ht="24" customHeight="1">
      <c r="A474" s="13"/>
      <c r="B474" s="9"/>
      <c r="C474" s="26"/>
      <c r="D474" s="15"/>
      <c r="E474" s="26"/>
      <c r="F474" s="154"/>
      <c r="G474" s="26"/>
      <c r="H474" s="117"/>
      <c r="I474" s="133"/>
      <c r="J474" s="20"/>
      <c r="K474" s="20"/>
      <c r="L474" s="27"/>
      <c r="M474" s="27"/>
      <c r="N474" s="51"/>
      <c r="O474" s="48" t="s">
        <v>31</v>
      </c>
      <c r="P474" s="28"/>
      <c r="Q474" s="28">
        <f t="shared" si="213"/>
        <v>0</v>
      </c>
      <c r="R474" s="23" t="s">
        <v>30</v>
      </c>
      <c r="S474" s="28">
        <v>0</v>
      </c>
      <c r="T474" s="98">
        <f t="shared" si="214"/>
        <v>0</v>
      </c>
      <c r="U474" s="23">
        <f t="shared" si="215"/>
        <v>0</v>
      </c>
      <c r="V474" s="20"/>
      <c r="W474" s="30"/>
      <c r="X474" s="147"/>
      <c r="Y474" s="32"/>
      <c r="Z474" s="56"/>
      <c r="AA474" s="55"/>
      <c r="AB474" s="32"/>
      <c r="AC474" s="56"/>
      <c r="AD474" s="143">
        <f t="shared" si="216"/>
        <v>7</v>
      </c>
      <c r="AE474" s="128">
        <f t="shared" si="217"/>
        <v>-7</v>
      </c>
      <c r="AF474" s="20"/>
      <c r="AG474" s="20"/>
      <c r="AH474" s="144">
        <f t="shared" si="211"/>
        <v>0</v>
      </c>
      <c r="AI474" s="145" t="e">
        <f>#REF!+5</f>
        <v>#REF!</v>
      </c>
      <c r="AJ474" s="142"/>
      <c r="AK474" s="146">
        <f t="shared" si="212"/>
        <v>0</v>
      </c>
      <c r="AL474" s="145">
        <f>Y474+90</f>
        <v>90</v>
      </c>
      <c r="AM474" s="20"/>
      <c r="AN474" s="51"/>
      <c r="AO474" s="135"/>
      <c r="AP474" s="135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</row>
    <row r="475" spans="1:55" s="42" customFormat="1" ht="24" customHeight="1">
      <c r="A475" s="47"/>
      <c r="B475" s="71"/>
      <c r="C475" s="71"/>
      <c r="D475" s="48"/>
      <c r="E475" s="71"/>
      <c r="F475" s="130"/>
      <c r="G475" s="71"/>
      <c r="H475" s="134"/>
      <c r="I475" s="133"/>
      <c r="J475" s="47"/>
      <c r="K475" s="47"/>
      <c r="L475" s="76"/>
      <c r="M475" s="76"/>
      <c r="N475" s="66"/>
      <c r="O475" s="48" t="s">
        <v>35</v>
      </c>
      <c r="P475" s="72"/>
      <c r="Q475" s="72">
        <f t="shared" si="213"/>
        <v>0</v>
      </c>
      <c r="R475" s="67" t="s">
        <v>34</v>
      </c>
      <c r="S475" s="28">
        <v>0</v>
      </c>
      <c r="T475" s="67">
        <f t="shared" si="214"/>
        <v>0</v>
      </c>
      <c r="U475" s="67">
        <f t="shared" si="215"/>
        <v>0</v>
      </c>
      <c r="V475" s="47"/>
      <c r="W475" s="127"/>
      <c r="X475" s="85"/>
      <c r="Y475" s="64"/>
      <c r="Z475" s="81"/>
      <c r="AA475" s="63"/>
      <c r="AB475" s="64"/>
      <c r="AC475" s="81"/>
      <c r="AD475" s="143">
        <f t="shared" si="216"/>
        <v>7</v>
      </c>
      <c r="AE475" s="128">
        <f t="shared" si="217"/>
        <v>-7</v>
      </c>
      <c r="AF475" s="47"/>
      <c r="AG475" s="47"/>
      <c r="AH475" s="66">
        <f t="shared" si="211"/>
        <v>0</v>
      </c>
      <c r="AI475" s="68" t="e">
        <f>#REF!+5</f>
        <v>#REF!</v>
      </c>
      <c r="AJ475" s="47"/>
      <c r="AK475" s="69">
        <f t="shared" si="212"/>
        <v>0</v>
      </c>
      <c r="AL475" s="68">
        <f t="shared" ref="AL475:AL490" si="218">Y475+60</f>
        <v>60</v>
      </c>
      <c r="AM475" s="47"/>
      <c r="AN475" s="60"/>
      <c r="AO475" s="66"/>
      <c r="AP475" s="66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129"/>
    </row>
    <row r="476" spans="1:55" s="42" customFormat="1" ht="24" customHeight="1">
      <c r="A476" s="47"/>
      <c r="B476" s="71"/>
      <c r="C476" s="71"/>
      <c r="D476" s="48"/>
      <c r="E476" s="46"/>
      <c r="F476" s="46"/>
      <c r="G476" s="46"/>
      <c r="H476" s="134"/>
      <c r="I476" s="133"/>
      <c r="J476" s="47"/>
      <c r="K476" s="47"/>
      <c r="L476" s="76"/>
      <c r="M476" s="131"/>
      <c r="N476" s="66"/>
      <c r="O476" s="48" t="s">
        <v>31</v>
      </c>
      <c r="P476" s="72"/>
      <c r="Q476" s="72">
        <f t="shared" si="213"/>
        <v>0</v>
      </c>
      <c r="R476" s="67" t="s">
        <v>30</v>
      </c>
      <c r="S476" s="28">
        <v>0</v>
      </c>
      <c r="T476" s="67">
        <f t="shared" si="214"/>
        <v>0</v>
      </c>
      <c r="U476" s="67">
        <f t="shared" si="215"/>
        <v>0</v>
      </c>
      <c r="V476" s="39"/>
      <c r="W476" s="127"/>
      <c r="X476" s="85"/>
      <c r="Y476" s="81"/>
      <c r="Z476" s="64"/>
      <c r="AA476" s="63"/>
      <c r="AB476" s="81"/>
      <c r="AC476" s="64"/>
      <c r="AD476" s="64">
        <f t="shared" si="216"/>
        <v>7</v>
      </c>
      <c r="AE476" s="128">
        <f t="shared" si="217"/>
        <v>-7</v>
      </c>
      <c r="AF476" s="47"/>
      <c r="AG476" s="47"/>
      <c r="AH476" s="66">
        <f t="shared" si="211"/>
        <v>0</v>
      </c>
      <c r="AI476" s="68" t="e">
        <f>#REF!+5</f>
        <v>#REF!</v>
      </c>
      <c r="AJ476" s="47"/>
      <c r="AK476" s="69">
        <f t="shared" si="212"/>
        <v>0</v>
      </c>
      <c r="AL476" s="68">
        <f t="shared" si="218"/>
        <v>60</v>
      </c>
      <c r="AM476" s="47"/>
      <c r="AN476" s="66"/>
      <c r="AO476" s="118"/>
      <c r="AP476" s="11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129"/>
    </row>
    <row r="477" spans="1:55" s="42" customFormat="1" ht="24" customHeight="1">
      <c r="A477" s="47"/>
      <c r="B477" s="71"/>
      <c r="C477" s="71"/>
      <c r="D477" s="48"/>
      <c r="E477" s="46"/>
      <c r="F477" s="46"/>
      <c r="G477" s="46"/>
      <c r="H477" s="134"/>
      <c r="I477" s="133"/>
      <c r="J477" s="47"/>
      <c r="K477" s="47"/>
      <c r="L477" s="76"/>
      <c r="M477" s="131"/>
      <c r="N477" s="66"/>
      <c r="O477" s="48" t="s">
        <v>31</v>
      </c>
      <c r="P477" s="72"/>
      <c r="Q477" s="72">
        <f t="shared" si="213"/>
        <v>0</v>
      </c>
      <c r="R477" s="67" t="s">
        <v>30</v>
      </c>
      <c r="S477" s="28">
        <v>0</v>
      </c>
      <c r="T477" s="67">
        <f t="shared" si="214"/>
        <v>0</v>
      </c>
      <c r="U477" s="67">
        <f t="shared" si="215"/>
        <v>0</v>
      </c>
      <c r="V477" s="39"/>
      <c r="W477" s="127"/>
      <c r="X477" s="85"/>
      <c r="Y477" s="81"/>
      <c r="Z477" s="64"/>
      <c r="AA477" s="63"/>
      <c r="AB477" s="81"/>
      <c r="AC477" s="64"/>
      <c r="AD477" s="64">
        <f t="shared" si="216"/>
        <v>7</v>
      </c>
      <c r="AE477" s="128">
        <f t="shared" si="217"/>
        <v>-7</v>
      </c>
      <c r="AF477" s="47"/>
      <c r="AG477" s="47"/>
      <c r="AH477" s="66">
        <f t="shared" si="211"/>
        <v>0</v>
      </c>
      <c r="AI477" s="68" t="e">
        <f>#REF!+5</f>
        <v>#REF!</v>
      </c>
      <c r="AJ477" s="47"/>
      <c r="AK477" s="69">
        <f t="shared" si="212"/>
        <v>0</v>
      </c>
      <c r="AL477" s="68">
        <f t="shared" si="218"/>
        <v>60</v>
      </c>
      <c r="AM477" s="47"/>
      <c r="AN477" s="66"/>
      <c r="AO477" s="118"/>
      <c r="AP477" s="11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129"/>
    </row>
    <row r="478" spans="1:55" s="42" customFormat="1" ht="24" customHeight="1">
      <c r="A478" s="47"/>
      <c r="B478" s="71"/>
      <c r="C478" s="71"/>
      <c r="D478" s="48"/>
      <c r="E478" s="46"/>
      <c r="F478" s="46"/>
      <c r="G478" s="46"/>
      <c r="H478" s="134"/>
      <c r="I478" s="133"/>
      <c r="J478" s="47"/>
      <c r="K478" s="47"/>
      <c r="L478" s="76"/>
      <c r="M478" s="131"/>
      <c r="N478" s="66"/>
      <c r="O478" s="48" t="s">
        <v>31</v>
      </c>
      <c r="P478" s="72"/>
      <c r="Q478" s="72">
        <f t="shared" si="213"/>
        <v>0</v>
      </c>
      <c r="R478" s="67" t="s">
        <v>30</v>
      </c>
      <c r="S478" s="28">
        <v>0</v>
      </c>
      <c r="T478" s="67">
        <f t="shared" si="214"/>
        <v>0</v>
      </c>
      <c r="U478" s="67">
        <f t="shared" si="215"/>
        <v>0</v>
      </c>
      <c r="V478" s="39"/>
      <c r="W478" s="127"/>
      <c r="X478" s="85"/>
      <c r="Y478" s="81"/>
      <c r="Z478" s="64"/>
      <c r="AA478" s="63"/>
      <c r="AB478" s="81"/>
      <c r="AC478" s="64"/>
      <c r="AD478" s="64">
        <f t="shared" si="216"/>
        <v>7</v>
      </c>
      <c r="AE478" s="128">
        <f t="shared" si="217"/>
        <v>-7</v>
      </c>
      <c r="AF478" s="47"/>
      <c r="AG478" s="47"/>
      <c r="AH478" s="66">
        <f t="shared" si="211"/>
        <v>0</v>
      </c>
      <c r="AI478" s="68" t="e">
        <f>#REF!+5</f>
        <v>#REF!</v>
      </c>
      <c r="AJ478" s="47"/>
      <c r="AK478" s="69">
        <f t="shared" si="212"/>
        <v>0</v>
      </c>
      <c r="AL478" s="68">
        <f t="shared" si="218"/>
        <v>60</v>
      </c>
      <c r="AM478" s="47"/>
      <c r="AN478" s="66"/>
      <c r="AO478" s="118"/>
      <c r="AP478" s="11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129"/>
    </row>
    <row r="479" spans="1:55" s="42" customFormat="1" ht="24" customHeight="1">
      <c r="A479" s="47"/>
      <c r="B479" s="71"/>
      <c r="C479" s="71"/>
      <c r="D479" s="48"/>
      <c r="E479" s="46"/>
      <c r="F479" s="46"/>
      <c r="G479" s="46"/>
      <c r="H479" s="134"/>
      <c r="I479" s="133"/>
      <c r="J479" s="47"/>
      <c r="K479" s="47"/>
      <c r="L479" s="76"/>
      <c r="M479" s="131"/>
      <c r="N479" s="66"/>
      <c r="O479" s="48" t="s">
        <v>31</v>
      </c>
      <c r="P479" s="72"/>
      <c r="Q479" s="72">
        <f t="shared" si="213"/>
        <v>0</v>
      </c>
      <c r="R479" s="67" t="s">
        <v>30</v>
      </c>
      <c r="S479" s="28">
        <v>0</v>
      </c>
      <c r="T479" s="67">
        <f t="shared" si="214"/>
        <v>0</v>
      </c>
      <c r="U479" s="67">
        <f t="shared" si="215"/>
        <v>0</v>
      </c>
      <c r="V479" s="39"/>
      <c r="W479" s="127"/>
      <c r="X479" s="85"/>
      <c r="Y479" s="81"/>
      <c r="Z479" s="64"/>
      <c r="AA479" s="63"/>
      <c r="AB479" s="81"/>
      <c r="AC479" s="64"/>
      <c r="AD479" s="64">
        <f t="shared" si="216"/>
        <v>7</v>
      </c>
      <c r="AE479" s="128">
        <f t="shared" si="217"/>
        <v>-7</v>
      </c>
      <c r="AF479" s="47"/>
      <c r="AG479" s="47"/>
      <c r="AH479" s="66">
        <f t="shared" si="211"/>
        <v>0</v>
      </c>
      <c r="AI479" s="68" t="e">
        <f>#REF!+5</f>
        <v>#REF!</v>
      </c>
      <c r="AJ479" s="47"/>
      <c r="AK479" s="69">
        <f t="shared" si="212"/>
        <v>0</v>
      </c>
      <c r="AL479" s="68">
        <f t="shared" si="218"/>
        <v>60</v>
      </c>
      <c r="AM479" s="47"/>
      <c r="AN479" s="66"/>
      <c r="AO479" s="118"/>
      <c r="AP479" s="11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129"/>
    </row>
    <row r="480" spans="1:55" s="42" customFormat="1" ht="24" customHeight="1">
      <c r="A480" s="47"/>
      <c r="B480" s="71"/>
      <c r="C480" s="71"/>
      <c r="D480" s="48"/>
      <c r="E480" s="46"/>
      <c r="F480" s="46"/>
      <c r="G480" s="46"/>
      <c r="H480" s="134"/>
      <c r="I480" s="133"/>
      <c r="J480" s="47"/>
      <c r="K480" s="47"/>
      <c r="L480" s="76"/>
      <c r="M480" s="131"/>
      <c r="N480" s="66"/>
      <c r="O480" s="48" t="s">
        <v>31</v>
      </c>
      <c r="P480" s="72"/>
      <c r="Q480" s="72">
        <f t="shared" si="213"/>
        <v>0</v>
      </c>
      <c r="R480" s="67" t="s">
        <v>30</v>
      </c>
      <c r="S480" s="28">
        <v>0</v>
      </c>
      <c r="T480" s="67">
        <f t="shared" si="214"/>
        <v>0</v>
      </c>
      <c r="U480" s="67">
        <f t="shared" si="215"/>
        <v>0</v>
      </c>
      <c r="V480" s="39"/>
      <c r="W480" s="127"/>
      <c r="X480" s="85"/>
      <c r="Y480" s="81"/>
      <c r="Z480" s="64"/>
      <c r="AA480" s="63"/>
      <c r="AB480" s="81"/>
      <c r="AC480" s="64"/>
      <c r="AD480" s="64">
        <f t="shared" si="216"/>
        <v>7</v>
      </c>
      <c r="AE480" s="128">
        <f t="shared" si="217"/>
        <v>-7</v>
      </c>
      <c r="AF480" s="47"/>
      <c r="AG480" s="47"/>
      <c r="AH480" s="66">
        <f t="shared" si="211"/>
        <v>0</v>
      </c>
      <c r="AI480" s="68" t="e">
        <f>#REF!+5</f>
        <v>#REF!</v>
      </c>
      <c r="AJ480" s="47"/>
      <c r="AK480" s="69">
        <f t="shared" si="212"/>
        <v>0</v>
      </c>
      <c r="AL480" s="68">
        <f t="shared" si="218"/>
        <v>60</v>
      </c>
      <c r="AM480" s="47"/>
      <c r="AN480" s="66"/>
      <c r="AO480" s="118"/>
      <c r="AP480" s="11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129"/>
    </row>
    <row r="481" spans="1:55" s="42" customFormat="1" ht="24" customHeight="1">
      <c r="A481" s="47"/>
      <c r="B481" s="71"/>
      <c r="C481" s="71"/>
      <c r="D481" s="48"/>
      <c r="E481" s="46"/>
      <c r="F481" s="46"/>
      <c r="G481" s="46"/>
      <c r="H481" s="134"/>
      <c r="I481" s="133"/>
      <c r="J481" s="47"/>
      <c r="K481" s="47"/>
      <c r="L481" s="76"/>
      <c r="M481" s="131"/>
      <c r="N481" s="66"/>
      <c r="O481" s="48" t="s">
        <v>31</v>
      </c>
      <c r="P481" s="72"/>
      <c r="Q481" s="72">
        <f>M481*P481</f>
        <v>0</v>
      </c>
      <c r="R481" s="67" t="s">
        <v>30</v>
      </c>
      <c r="S481" s="28">
        <v>0</v>
      </c>
      <c r="T481" s="67">
        <f>M481*S481</f>
        <v>0</v>
      </c>
      <c r="U481" s="67">
        <f>P481-S481</f>
        <v>0</v>
      </c>
      <c r="V481" s="39"/>
      <c r="W481" s="127"/>
      <c r="X481" s="85"/>
      <c r="Y481" s="81"/>
      <c r="Z481" s="64"/>
      <c r="AA481" s="63"/>
      <c r="AB481" s="81"/>
      <c r="AC481" s="64"/>
      <c r="AD481" s="64">
        <f>Y481+7</f>
        <v>7</v>
      </c>
      <c r="AE481" s="128">
        <f>AC481-AD481</f>
        <v>-7</v>
      </c>
      <c r="AF481" s="47"/>
      <c r="AG481" s="47"/>
      <c r="AH481" s="66">
        <f t="shared" si="211"/>
        <v>0</v>
      </c>
      <c r="AI481" s="68" t="e">
        <f>#REF!+5</f>
        <v>#REF!</v>
      </c>
      <c r="AJ481" s="47"/>
      <c r="AK481" s="69">
        <f t="shared" si="212"/>
        <v>0</v>
      </c>
      <c r="AL481" s="68">
        <f t="shared" si="218"/>
        <v>60</v>
      </c>
      <c r="AM481" s="47"/>
      <c r="AN481" s="66"/>
      <c r="AO481" s="118"/>
      <c r="AP481" s="11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129"/>
    </row>
    <row r="482" spans="1:55" s="42" customFormat="1" ht="24" customHeight="1">
      <c r="A482" s="47"/>
      <c r="B482" s="71"/>
      <c r="C482" s="71"/>
      <c r="D482" s="48"/>
      <c r="E482" s="46"/>
      <c r="F482" s="46"/>
      <c r="G482" s="46"/>
      <c r="H482" s="134"/>
      <c r="I482" s="133"/>
      <c r="J482" s="47"/>
      <c r="K482" s="47"/>
      <c r="L482" s="76"/>
      <c r="M482" s="131"/>
      <c r="N482" s="66"/>
      <c r="O482" s="48" t="s">
        <v>31</v>
      </c>
      <c r="P482" s="72"/>
      <c r="Q482" s="72">
        <f>M482*P482</f>
        <v>0</v>
      </c>
      <c r="R482" s="67" t="s">
        <v>30</v>
      </c>
      <c r="S482" s="28">
        <v>0</v>
      </c>
      <c r="T482" s="67">
        <f>M482*S482</f>
        <v>0</v>
      </c>
      <c r="U482" s="67">
        <f>P482-S482</f>
        <v>0</v>
      </c>
      <c r="V482" s="39"/>
      <c r="W482" s="127"/>
      <c r="X482" s="85"/>
      <c r="Y482" s="81"/>
      <c r="Z482" s="64"/>
      <c r="AA482" s="63"/>
      <c r="AB482" s="81"/>
      <c r="AC482" s="64"/>
      <c r="AD482" s="64">
        <f>Y482+7</f>
        <v>7</v>
      </c>
      <c r="AE482" s="128">
        <f>AC482-AD482</f>
        <v>-7</v>
      </c>
      <c r="AF482" s="47"/>
      <c r="AG482" s="47"/>
      <c r="AH482" s="66">
        <f t="shared" si="211"/>
        <v>0</v>
      </c>
      <c r="AI482" s="68" t="e">
        <f>#REF!+5</f>
        <v>#REF!</v>
      </c>
      <c r="AJ482" s="47"/>
      <c r="AK482" s="69">
        <f t="shared" si="212"/>
        <v>0</v>
      </c>
      <c r="AL482" s="68">
        <f t="shared" si="218"/>
        <v>60</v>
      </c>
      <c r="AM482" s="47"/>
      <c r="AN482" s="66"/>
      <c r="AO482" s="118"/>
      <c r="AP482" s="11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129"/>
    </row>
    <row r="483" spans="1:55" s="42" customFormat="1" ht="24" customHeight="1">
      <c r="A483" s="47"/>
      <c r="B483" s="71"/>
      <c r="C483" s="71"/>
      <c r="D483" s="48"/>
      <c r="E483" s="46"/>
      <c r="F483" s="46"/>
      <c r="G483" s="46"/>
      <c r="H483" s="134"/>
      <c r="I483" s="133"/>
      <c r="J483" s="47"/>
      <c r="K483" s="47"/>
      <c r="L483" s="76"/>
      <c r="M483" s="131"/>
      <c r="N483" s="66"/>
      <c r="O483" s="48" t="s">
        <v>31</v>
      </c>
      <c r="P483" s="72"/>
      <c r="Q483" s="72">
        <f>M483*P483</f>
        <v>0</v>
      </c>
      <c r="R483" s="67" t="s">
        <v>30</v>
      </c>
      <c r="S483" s="28">
        <v>0</v>
      </c>
      <c r="T483" s="67">
        <f>M483*S483</f>
        <v>0</v>
      </c>
      <c r="U483" s="67">
        <f>P483-S483</f>
        <v>0</v>
      </c>
      <c r="V483" s="39"/>
      <c r="W483" s="127"/>
      <c r="X483" s="85"/>
      <c r="Y483" s="81"/>
      <c r="Z483" s="64"/>
      <c r="AA483" s="63"/>
      <c r="AB483" s="81"/>
      <c r="AC483" s="64"/>
      <c r="AD483" s="64">
        <f>Y483+7</f>
        <v>7</v>
      </c>
      <c r="AE483" s="128">
        <f>AC483-AD483</f>
        <v>-7</v>
      </c>
      <c r="AF483" s="47"/>
      <c r="AG483" s="47"/>
      <c r="AH483" s="66">
        <f t="shared" si="211"/>
        <v>0</v>
      </c>
      <c r="AI483" s="68" t="e">
        <f>#REF!+5</f>
        <v>#REF!</v>
      </c>
      <c r="AJ483" s="47"/>
      <c r="AK483" s="69">
        <f t="shared" si="212"/>
        <v>0</v>
      </c>
      <c r="AL483" s="68">
        <f t="shared" si="218"/>
        <v>60</v>
      </c>
      <c r="AM483" s="47"/>
      <c r="AN483" s="66"/>
      <c r="AO483" s="118"/>
      <c r="AP483" s="11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129"/>
    </row>
    <row r="484" spans="1:55" s="42" customFormat="1" ht="24" customHeight="1">
      <c r="A484" s="47"/>
      <c r="B484" s="71"/>
      <c r="C484" s="71"/>
      <c r="D484" s="48"/>
      <c r="E484" s="46"/>
      <c r="F484" s="46"/>
      <c r="G484" s="46"/>
      <c r="H484" s="134"/>
      <c r="I484" s="133"/>
      <c r="J484" s="47"/>
      <c r="K484" s="47"/>
      <c r="L484" s="76"/>
      <c r="M484" s="131"/>
      <c r="N484" s="66"/>
      <c r="O484" s="48" t="s">
        <v>31</v>
      </c>
      <c r="P484" s="72"/>
      <c r="Q484" s="72">
        <f>M484*P484</f>
        <v>0</v>
      </c>
      <c r="R484" s="67" t="s">
        <v>30</v>
      </c>
      <c r="S484" s="28">
        <v>0</v>
      </c>
      <c r="T484" s="67">
        <f>M484*S484</f>
        <v>0</v>
      </c>
      <c r="U484" s="67">
        <f>P484-S484</f>
        <v>0</v>
      </c>
      <c r="V484" s="39"/>
      <c r="W484" s="127"/>
      <c r="X484" s="85"/>
      <c r="Y484" s="81"/>
      <c r="Z484" s="64"/>
      <c r="AA484" s="63"/>
      <c r="AB484" s="81"/>
      <c r="AC484" s="64"/>
      <c r="AD484" s="64">
        <f>Y484+7</f>
        <v>7</v>
      </c>
      <c r="AE484" s="128">
        <f>AC484-AD484</f>
        <v>-7</v>
      </c>
      <c r="AF484" s="47"/>
      <c r="AG484" s="47"/>
      <c r="AH484" s="66">
        <f t="shared" si="211"/>
        <v>0</v>
      </c>
      <c r="AI484" s="68" t="e">
        <f>#REF!+5</f>
        <v>#REF!</v>
      </c>
      <c r="AJ484" s="47"/>
      <c r="AK484" s="69">
        <f t="shared" si="212"/>
        <v>0</v>
      </c>
      <c r="AL484" s="68">
        <f t="shared" si="218"/>
        <v>60</v>
      </c>
      <c r="AM484" s="47"/>
      <c r="AN484" s="66"/>
      <c r="AO484" s="118"/>
      <c r="AP484" s="11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129"/>
    </row>
    <row r="485" spans="1:55" s="42" customFormat="1" ht="24" customHeight="1">
      <c r="A485" s="47"/>
      <c r="B485" s="71"/>
      <c r="C485" s="71"/>
      <c r="D485" s="48"/>
      <c r="E485" s="46"/>
      <c r="F485" s="46"/>
      <c r="G485" s="46"/>
      <c r="H485" s="134"/>
      <c r="I485" s="133"/>
      <c r="J485" s="47"/>
      <c r="K485" s="47"/>
      <c r="L485" s="76"/>
      <c r="M485" s="131"/>
      <c r="N485" s="66"/>
      <c r="O485" s="48" t="s">
        <v>31</v>
      </c>
      <c r="P485" s="72"/>
      <c r="Q485" s="72">
        <f>M485*P485</f>
        <v>0</v>
      </c>
      <c r="R485" s="67" t="s">
        <v>30</v>
      </c>
      <c r="S485" s="28">
        <v>0</v>
      </c>
      <c r="T485" s="67">
        <f>M485*S485</f>
        <v>0</v>
      </c>
      <c r="U485" s="67">
        <f>P485-S485</f>
        <v>0</v>
      </c>
      <c r="V485" s="39"/>
      <c r="W485" s="127"/>
      <c r="X485" s="85"/>
      <c r="Y485" s="81"/>
      <c r="Z485" s="64"/>
      <c r="AA485" s="63"/>
      <c r="AB485" s="81"/>
      <c r="AC485" s="64"/>
      <c r="AD485" s="64">
        <f>Y485+7</f>
        <v>7</v>
      </c>
      <c r="AE485" s="128">
        <f>AC485-AD485</f>
        <v>-7</v>
      </c>
      <c r="AF485" s="47"/>
      <c r="AG485" s="47"/>
      <c r="AH485" s="66">
        <f t="shared" si="211"/>
        <v>0</v>
      </c>
      <c r="AI485" s="68" t="e">
        <f>#REF!+5</f>
        <v>#REF!</v>
      </c>
      <c r="AJ485" s="47"/>
      <c r="AK485" s="69">
        <f t="shared" si="212"/>
        <v>0</v>
      </c>
      <c r="AL485" s="68">
        <f t="shared" si="218"/>
        <v>60</v>
      </c>
      <c r="AM485" s="47"/>
      <c r="AN485" s="66"/>
      <c r="AO485" s="118"/>
      <c r="AP485" s="11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129"/>
    </row>
    <row r="486" spans="1:55" s="42" customFormat="1" ht="24" customHeight="1">
      <c r="A486" s="47"/>
      <c r="B486" s="71"/>
      <c r="C486" s="71"/>
      <c r="D486" s="48"/>
      <c r="E486" s="46"/>
      <c r="F486" s="46"/>
      <c r="G486" s="46"/>
      <c r="H486" s="134"/>
      <c r="I486" s="134"/>
      <c r="J486" s="47"/>
      <c r="K486" s="47"/>
      <c r="L486" s="76"/>
      <c r="M486" s="131"/>
      <c r="N486" s="66"/>
      <c r="O486" s="48" t="s">
        <v>31</v>
      </c>
      <c r="P486" s="72"/>
      <c r="Q486" s="72">
        <f t="shared" ref="Q486:Q491" si="219">M486*P486</f>
        <v>0</v>
      </c>
      <c r="R486" s="67" t="s">
        <v>30</v>
      </c>
      <c r="S486" s="28">
        <v>0</v>
      </c>
      <c r="T486" s="67">
        <f t="shared" ref="T486:T491" si="220">M486*S486</f>
        <v>0</v>
      </c>
      <c r="U486" s="67">
        <f t="shared" ref="U486:U491" si="221">P486-S486</f>
        <v>0</v>
      </c>
      <c r="V486" s="39"/>
      <c r="W486" s="127"/>
      <c r="X486" s="85"/>
      <c r="Y486" s="81"/>
      <c r="Z486" s="64"/>
      <c r="AA486" s="63"/>
      <c r="AB486" s="81"/>
      <c r="AC486" s="64"/>
      <c r="AD486" s="64">
        <f t="shared" ref="AD486:AD504" si="222">Y486+7</f>
        <v>7</v>
      </c>
      <c r="AE486" s="128">
        <f t="shared" ref="AE486:AE491" si="223">AC486-AD486</f>
        <v>-7</v>
      </c>
      <c r="AF486" s="47"/>
      <c r="AG486" s="47"/>
      <c r="AH486" s="66">
        <f t="shared" si="211"/>
        <v>0</v>
      </c>
      <c r="AI486" s="68" t="e">
        <f>#REF!+5</f>
        <v>#REF!</v>
      </c>
      <c r="AJ486" s="47"/>
      <c r="AK486" s="69">
        <f t="shared" si="212"/>
        <v>0</v>
      </c>
      <c r="AL486" s="68">
        <f t="shared" si="218"/>
        <v>60</v>
      </c>
      <c r="AM486" s="47"/>
      <c r="AN486" s="66"/>
      <c r="AO486" s="118"/>
      <c r="AP486" s="11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129"/>
    </row>
    <row r="487" spans="1:55" s="42" customFormat="1" ht="24" customHeight="1">
      <c r="A487" s="47"/>
      <c r="B487" s="71"/>
      <c r="C487" s="71"/>
      <c r="D487" s="48"/>
      <c r="E487" s="46"/>
      <c r="F487" s="46"/>
      <c r="G487" s="46"/>
      <c r="H487" s="134"/>
      <c r="I487" s="134"/>
      <c r="J487" s="47"/>
      <c r="K487" s="47"/>
      <c r="L487" s="76"/>
      <c r="M487" s="131"/>
      <c r="N487" s="66"/>
      <c r="O487" s="48" t="s">
        <v>31</v>
      </c>
      <c r="P487" s="72"/>
      <c r="Q487" s="72">
        <f t="shared" si="219"/>
        <v>0</v>
      </c>
      <c r="R487" s="67" t="s">
        <v>30</v>
      </c>
      <c r="S487" s="28">
        <v>0</v>
      </c>
      <c r="T487" s="67">
        <f t="shared" si="220"/>
        <v>0</v>
      </c>
      <c r="U487" s="67">
        <f t="shared" si="221"/>
        <v>0</v>
      </c>
      <c r="V487" s="39"/>
      <c r="W487" s="127"/>
      <c r="X487" s="85"/>
      <c r="Y487" s="81"/>
      <c r="Z487" s="64"/>
      <c r="AA487" s="63"/>
      <c r="AB487" s="81"/>
      <c r="AC487" s="64"/>
      <c r="AD487" s="64">
        <f t="shared" si="222"/>
        <v>7</v>
      </c>
      <c r="AE487" s="128">
        <f t="shared" si="223"/>
        <v>-7</v>
      </c>
      <c r="AF487" s="47"/>
      <c r="AG487" s="47"/>
      <c r="AH487" s="66">
        <f t="shared" si="211"/>
        <v>0</v>
      </c>
      <c r="AI487" s="68" t="e">
        <f>#REF!+5</f>
        <v>#REF!</v>
      </c>
      <c r="AJ487" s="47"/>
      <c r="AK487" s="69">
        <f t="shared" si="212"/>
        <v>0</v>
      </c>
      <c r="AL487" s="68">
        <f t="shared" si="218"/>
        <v>60</v>
      </c>
      <c r="AM487" s="47"/>
      <c r="AN487" s="66"/>
      <c r="AO487" s="118"/>
      <c r="AP487" s="11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129"/>
    </row>
    <row r="488" spans="1:55" s="42" customFormat="1" ht="24" customHeight="1">
      <c r="A488" s="47"/>
      <c r="B488" s="71"/>
      <c r="C488" s="71"/>
      <c r="D488" s="48"/>
      <c r="E488" s="46"/>
      <c r="F488" s="46"/>
      <c r="G488" s="46"/>
      <c r="H488" s="134"/>
      <c r="I488" s="134"/>
      <c r="J488" s="47"/>
      <c r="K488" s="47"/>
      <c r="L488" s="76"/>
      <c r="M488" s="131"/>
      <c r="N488" s="66"/>
      <c r="O488" s="48" t="s">
        <v>31</v>
      </c>
      <c r="P488" s="72"/>
      <c r="Q488" s="72">
        <f t="shared" si="219"/>
        <v>0</v>
      </c>
      <c r="R488" s="67" t="s">
        <v>30</v>
      </c>
      <c r="S488" s="28">
        <v>0</v>
      </c>
      <c r="T488" s="67">
        <f t="shared" si="220"/>
        <v>0</v>
      </c>
      <c r="U488" s="67">
        <f t="shared" si="221"/>
        <v>0</v>
      </c>
      <c r="V488" s="39"/>
      <c r="W488" s="127"/>
      <c r="X488" s="85"/>
      <c r="Y488" s="81"/>
      <c r="Z488" s="64"/>
      <c r="AA488" s="63"/>
      <c r="AB488" s="81"/>
      <c r="AC488" s="64"/>
      <c r="AD488" s="64">
        <f t="shared" si="222"/>
        <v>7</v>
      </c>
      <c r="AE488" s="128">
        <f t="shared" si="223"/>
        <v>-7</v>
      </c>
      <c r="AF488" s="47"/>
      <c r="AG488" s="47"/>
      <c r="AH488" s="66">
        <f t="shared" si="211"/>
        <v>0</v>
      </c>
      <c r="AI488" s="68" t="e">
        <f>#REF!+5</f>
        <v>#REF!</v>
      </c>
      <c r="AJ488" s="47"/>
      <c r="AK488" s="69">
        <f t="shared" si="212"/>
        <v>0</v>
      </c>
      <c r="AL488" s="68">
        <f t="shared" si="218"/>
        <v>60</v>
      </c>
      <c r="AM488" s="47"/>
      <c r="AN488" s="66"/>
      <c r="AO488" s="118"/>
      <c r="AP488" s="11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129"/>
    </row>
    <row r="489" spans="1:55" s="129" customFormat="1" ht="24" customHeight="1">
      <c r="A489" s="47"/>
      <c r="B489" s="71"/>
      <c r="C489" s="71"/>
      <c r="D489" s="48"/>
      <c r="E489" s="163"/>
      <c r="F489" s="163"/>
      <c r="G489" s="163"/>
      <c r="H489" s="134"/>
      <c r="I489" s="134"/>
      <c r="J489" s="47"/>
      <c r="K489" s="47"/>
      <c r="L489" s="76"/>
      <c r="M489" s="131"/>
      <c r="N489" s="66"/>
      <c r="O489" s="48" t="s">
        <v>31</v>
      </c>
      <c r="P489" s="72"/>
      <c r="Q489" s="72">
        <f t="shared" si="219"/>
        <v>0</v>
      </c>
      <c r="R489" s="67" t="s">
        <v>30</v>
      </c>
      <c r="S489" s="28">
        <v>0</v>
      </c>
      <c r="T489" s="67">
        <f t="shared" si="220"/>
        <v>0</v>
      </c>
      <c r="U489" s="67">
        <f t="shared" si="221"/>
        <v>0</v>
      </c>
      <c r="V489" s="39"/>
      <c r="W489" s="127"/>
      <c r="X489" s="85"/>
      <c r="Y489" s="81"/>
      <c r="Z489" s="64"/>
      <c r="AA489" s="63"/>
      <c r="AB489" s="81"/>
      <c r="AC489" s="64"/>
      <c r="AD489" s="64">
        <f t="shared" si="222"/>
        <v>7</v>
      </c>
      <c r="AE489" s="128">
        <f t="shared" si="223"/>
        <v>-7</v>
      </c>
      <c r="AF489" s="47"/>
      <c r="AG489" s="47"/>
      <c r="AH489" s="66">
        <f t="shared" si="211"/>
        <v>0</v>
      </c>
      <c r="AI489" s="68" t="e">
        <f>#REF!+5</f>
        <v>#REF!</v>
      </c>
      <c r="AJ489" s="47"/>
      <c r="AK489" s="69">
        <f t="shared" si="212"/>
        <v>0</v>
      </c>
      <c r="AL489" s="68">
        <f t="shared" si="218"/>
        <v>60</v>
      </c>
      <c r="AM489" s="47"/>
      <c r="AN489" s="66"/>
      <c r="AO489" s="118"/>
      <c r="AP489" s="11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</row>
    <row r="490" spans="1:55" s="129" customFormat="1" ht="24" customHeight="1">
      <c r="A490" s="47"/>
      <c r="B490" s="71"/>
      <c r="C490" s="71"/>
      <c r="D490" s="48"/>
      <c r="E490" s="163"/>
      <c r="F490" s="163"/>
      <c r="G490" s="163"/>
      <c r="H490" s="134"/>
      <c r="I490" s="134"/>
      <c r="J490" s="47"/>
      <c r="K490" s="47"/>
      <c r="L490" s="76"/>
      <c r="M490" s="131"/>
      <c r="N490" s="66"/>
      <c r="O490" s="48" t="s">
        <v>31</v>
      </c>
      <c r="P490" s="72"/>
      <c r="Q490" s="72">
        <f t="shared" si="219"/>
        <v>0</v>
      </c>
      <c r="R490" s="67" t="s">
        <v>30</v>
      </c>
      <c r="S490" s="28">
        <v>0</v>
      </c>
      <c r="T490" s="67">
        <f t="shared" si="220"/>
        <v>0</v>
      </c>
      <c r="U490" s="67">
        <f t="shared" si="221"/>
        <v>0</v>
      </c>
      <c r="V490" s="39"/>
      <c r="W490" s="127"/>
      <c r="X490" s="85"/>
      <c r="Y490" s="81"/>
      <c r="Z490" s="64"/>
      <c r="AA490" s="63"/>
      <c r="AB490" s="81"/>
      <c r="AC490" s="64"/>
      <c r="AD490" s="64">
        <f t="shared" si="222"/>
        <v>7</v>
      </c>
      <c r="AE490" s="128">
        <f t="shared" si="223"/>
        <v>-7</v>
      </c>
      <c r="AF490" s="47"/>
      <c r="AG490" s="47"/>
      <c r="AH490" s="66">
        <f t="shared" si="211"/>
        <v>0</v>
      </c>
      <c r="AI490" s="68" t="e">
        <f>#REF!+5</f>
        <v>#REF!</v>
      </c>
      <c r="AJ490" s="47"/>
      <c r="AK490" s="69">
        <f t="shared" si="212"/>
        <v>0</v>
      </c>
      <c r="AL490" s="68">
        <f t="shared" si="218"/>
        <v>60</v>
      </c>
      <c r="AM490" s="47"/>
      <c r="AN490" s="66"/>
      <c r="AO490" s="118"/>
      <c r="AP490" s="11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</row>
    <row r="491" spans="1:55" s="129" customFormat="1" ht="24" customHeight="1">
      <c r="A491" s="47"/>
      <c r="B491" s="71"/>
      <c r="C491" s="60"/>
      <c r="D491" s="48"/>
      <c r="E491" s="124"/>
      <c r="F491" s="118"/>
      <c r="G491" s="136"/>
      <c r="H491" s="134"/>
      <c r="I491" s="133"/>
      <c r="J491" s="47"/>
      <c r="K491" s="47"/>
      <c r="L491" s="131"/>
      <c r="M491" s="131"/>
      <c r="N491" s="66"/>
      <c r="O491" s="48" t="s">
        <v>35</v>
      </c>
      <c r="P491" s="72"/>
      <c r="Q491" s="72">
        <f t="shared" si="219"/>
        <v>0</v>
      </c>
      <c r="R491" s="72" t="s">
        <v>34</v>
      </c>
      <c r="S491" s="28">
        <v>0</v>
      </c>
      <c r="T491" s="67">
        <f t="shared" si="220"/>
        <v>0</v>
      </c>
      <c r="U491" s="67">
        <f t="shared" si="221"/>
        <v>0</v>
      </c>
      <c r="V491" s="47"/>
      <c r="W491" s="127"/>
      <c r="X491" s="118"/>
      <c r="Y491" s="61"/>
      <c r="Z491" s="62"/>
      <c r="AA491" s="63"/>
      <c r="AB491" s="61"/>
      <c r="AC491" s="64"/>
      <c r="AD491" s="64">
        <f t="shared" si="222"/>
        <v>7</v>
      </c>
      <c r="AE491" s="128">
        <f t="shared" si="223"/>
        <v>-7</v>
      </c>
      <c r="AF491" s="47"/>
      <c r="AG491" s="47"/>
      <c r="AH491" s="66">
        <f t="shared" si="211"/>
        <v>0</v>
      </c>
      <c r="AI491" s="68" t="e">
        <f>#REF!+5</f>
        <v>#REF!</v>
      </c>
      <c r="AJ491" s="47"/>
      <c r="AK491" s="69">
        <f t="shared" si="212"/>
        <v>0</v>
      </c>
      <c r="AL491" s="68">
        <f>Y491+90</f>
        <v>90</v>
      </c>
      <c r="AM491" s="47"/>
      <c r="AN491" s="66"/>
      <c r="AO491" s="66"/>
      <c r="AP491" s="66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</row>
    <row r="492" spans="1:55" s="129" customFormat="1" ht="24" customHeight="1">
      <c r="A492" s="47"/>
      <c r="B492" s="71"/>
      <c r="C492" s="60"/>
      <c r="D492" s="48"/>
      <c r="E492" s="124"/>
      <c r="F492" s="118"/>
      <c r="G492" s="136"/>
      <c r="H492" s="134"/>
      <c r="I492" s="133"/>
      <c r="J492" s="47"/>
      <c r="K492" s="47"/>
      <c r="L492" s="131"/>
      <c r="M492" s="131"/>
      <c r="N492" s="66"/>
      <c r="O492" s="48" t="s">
        <v>35</v>
      </c>
      <c r="P492" s="72"/>
      <c r="Q492" s="72">
        <f>M492*P492</f>
        <v>0</v>
      </c>
      <c r="R492" s="72" t="s">
        <v>34</v>
      </c>
      <c r="S492" s="28">
        <v>0</v>
      </c>
      <c r="T492" s="67">
        <f>M492*S492</f>
        <v>0</v>
      </c>
      <c r="U492" s="67">
        <f>P492-S492</f>
        <v>0</v>
      </c>
      <c r="V492" s="47"/>
      <c r="W492" s="127"/>
      <c r="X492" s="118"/>
      <c r="Y492" s="61"/>
      <c r="Z492" s="62"/>
      <c r="AA492" s="63"/>
      <c r="AB492" s="61"/>
      <c r="AC492" s="64"/>
      <c r="AD492" s="64">
        <f t="shared" si="222"/>
        <v>7</v>
      </c>
      <c r="AE492" s="128">
        <f>AC492-AD492</f>
        <v>-7</v>
      </c>
      <c r="AF492" s="47"/>
      <c r="AG492" s="47"/>
      <c r="AH492" s="66">
        <f t="shared" si="211"/>
        <v>0</v>
      </c>
      <c r="AI492" s="68" t="e">
        <f>#REF!+5</f>
        <v>#REF!</v>
      </c>
      <c r="AJ492" s="47"/>
      <c r="AK492" s="69">
        <f t="shared" si="212"/>
        <v>0</v>
      </c>
      <c r="AL492" s="68">
        <f>Y492+90</f>
        <v>90</v>
      </c>
      <c r="AM492" s="47"/>
      <c r="AN492" s="66"/>
      <c r="AO492" s="66"/>
      <c r="AP492" s="66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</row>
    <row r="493" spans="1:55" s="129" customFormat="1" ht="24" customHeight="1">
      <c r="A493" s="47"/>
      <c r="B493" s="71"/>
      <c r="C493" s="60"/>
      <c r="D493" s="48"/>
      <c r="E493" s="124"/>
      <c r="F493" s="118"/>
      <c r="G493" s="136"/>
      <c r="H493" s="134"/>
      <c r="I493" s="133"/>
      <c r="J493" s="47"/>
      <c r="K493" s="47"/>
      <c r="L493" s="131"/>
      <c r="M493" s="131"/>
      <c r="N493" s="66"/>
      <c r="O493" s="48" t="s">
        <v>35</v>
      </c>
      <c r="P493" s="72"/>
      <c r="Q493" s="72">
        <f t="shared" ref="Q493:Q511" si="224">M493*P493</f>
        <v>0</v>
      </c>
      <c r="R493" s="72" t="s">
        <v>34</v>
      </c>
      <c r="S493" s="28">
        <v>0</v>
      </c>
      <c r="T493" s="67">
        <f t="shared" ref="T493:T522" si="225">M493*S493</f>
        <v>0</v>
      </c>
      <c r="U493" s="67">
        <f t="shared" ref="U493:U512" si="226">P493-S493</f>
        <v>0</v>
      </c>
      <c r="V493" s="47"/>
      <c r="W493" s="127"/>
      <c r="X493" s="118"/>
      <c r="Y493" s="61"/>
      <c r="Z493" s="62"/>
      <c r="AA493" s="63"/>
      <c r="AB493" s="61"/>
      <c r="AC493" s="64"/>
      <c r="AD493" s="64">
        <f t="shared" si="222"/>
        <v>7</v>
      </c>
      <c r="AE493" s="128">
        <f t="shared" ref="AE493:AE504" si="227">AC493-AD493</f>
        <v>-7</v>
      </c>
      <c r="AF493" s="47"/>
      <c r="AG493" s="47"/>
      <c r="AH493" s="66">
        <f t="shared" si="211"/>
        <v>0</v>
      </c>
      <c r="AI493" s="68" t="e">
        <f>#REF!+5</f>
        <v>#REF!</v>
      </c>
      <c r="AJ493" s="47"/>
      <c r="AK493" s="69">
        <f t="shared" si="212"/>
        <v>0</v>
      </c>
      <c r="AL493" s="68">
        <f>Y493+90</f>
        <v>90</v>
      </c>
      <c r="AM493" s="47"/>
      <c r="AN493" s="66"/>
      <c r="AO493" s="66"/>
      <c r="AP493" s="66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</row>
    <row r="494" spans="1:55" s="129" customFormat="1" ht="24" customHeight="1">
      <c r="A494" s="47"/>
      <c r="B494" s="71"/>
      <c r="C494" s="71"/>
      <c r="D494" s="48"/>
      <c r="E494" s="71"/>
      <c r="F494" s="130"/>
      <c r="G494" s="71"/>
      <c r="H494" s="134"/>
      <c r="I494" s="134"/>
      <c r="J494" s="47"/>
      <c r="K494" s="47"/>
      <c r="L494" s="76"/>
      <c r="M494" s="76"/>
      <c r="N494" s="66"/>
      <c r="O494" s="48" t="s">
        <v>35</v>
      </c>
      <c r="P494" s="72"/>
      <c r="Q494" s="72">
        <f t="shared" si="224"/>
        <v>0</v>
      </c>
      <c r="R494" s="67" t="s">
        <v>45</v>
      </c>
      <c r="S494" s="28">
        <v>0</v>
      </c>
      <c r="T494" s="67">
        <f t="shared" si="225"/>
        <v>0</v>
      </c>
      <c r="U494" s="67">
        <f t="shared" si="226"/>
        <v>0</v>
      </c>
      <c r="V494" s="47"/>
      <c r="W494" s="127"/>
      <c r="X494" s="85"/>
      <c r="Y494" s="64"/>
      <c r="Z494" s="81"/>
      <c r="AA494" s="63"/>
      <c r="AB494" s="64"/>
      <c r="AC494" s="81"/>
      <c r="AD494" s="64">
        <f t="shared" si="222"/>
        <v>7</v>
      </c>
      <c r="AE494" s="128">
        <f t="shared" si="227"/>
        <v>-7</v>
      </c>
      <c r="AF494" s="47"/>
      <c r="AG494" s="47"/>
      <c r="AH494" s="66">
        <f t="shared" si="211"/>
        <v>0</v>
      </c>
      <c r="AI494" s="68" t="e">
        <f>#REF!+5</f>
        <v>#REF!</v>
      </c>
      <c r="AJ494" s="47"/>
      <c r="AK494" s="69">
        <f t="shared" si="212"/>
        <v>0</v>
      </c>
      <c r="AL494" s="68">
        <f>Y494+90</f>
        <v>90</v>
      </c>
      <c r="AM494" s="47"/>
      <c r="AN494" s="66"/>
      <c r="AO494" s="66"/>
      <c r="AP494" s="66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</row>
    <row r="495" spans="1:55" s="129" customFormat="1" ht="24" customHeight="1">
      <c r="A495" s="47"/>
      <c r="B495" s="71"/>
      <c r="C495" s="71"/>
      <c r="D495" s="48"/>
      <c r="E495" s="71"/>
      <c r="F495" s="130"/>
      <c r="G495" s="71"/>
      <c r="H495" s="134"/>
      <c r="I495" s="133"/>
      <c r="J495" s="47"/>
      <c r="K495" s="47"/>
      <c r="L495" s="76"/>
      <c r="M495" s="76"/>
      <c r="N495" s="66"/>
      <c r="O495" s="48" t="s">
        <v>35</v>
      </c>
      <c r="P495" s="72"/>
      <c r="Q495" s="72">
        <f t="shared" si="224"/>
        <v>0</v>
      </c>
      <c r="R495" s="67" t="s">
        <v>34</v>
      </c>
      <c r="S495" s="28">
        <v>0</v>
      </c>
      <c r="T495" s="67">
        <f t="shared" si="225"/>
        <v>0</v>
      </c>
      <c r="U495" s="67">
        <f t="shared" si="226"/>
        <v>0</v>
      </c>
      <c r="V495" s="47"/>
      <c r="W495" s="127"/>
      <c r="X495" s="85"/>
      <c r="Y495" s="64"/>
      <c r="Z495" s="81"/>
      <c r="AA495" s="63"/>
      <c r="AB495" s="64"/>
      <c r="AC495" s="81"/>
      <c r="AD495" s="143">
        <f t="shared" si="222"/>
        <v>7</v>
      </c>
      <c r="AE495" s="128">
        <f t="shared" si="227"/>
        <v>-7</v>
      </c>
      <c r="AF495" s="47"/>
      <c r="AG495" s="47"/>
      <c r="AH495" s="66">
        <f t="shared" si="211"/>
        <v>0</v>
      </c>
      <c r="AI495" s="68" t="e">
        <f>#REF!+5</f>
        <v>#REF!</v>
      </c>
      <c r="AJ495" s="47"/>
      <c r="AK495" s="69">
        <f t="shared" si="212"/>
        <v>0</v>
      </c>
      <c r="AL495" s="68">
        <f t="shared" ref="AL495:AL522" si="228">Y495+60</f>
        <v>60</v>
      </c>
      <c r="AM495" s="47"/>
      <c r="AN495" s="60"/>
      <c r="AO495" s="66"/>
      <c r="AP495" s="66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</row>
    <row r="496" spans="1:55" s="129" customFormat="1" ht="24" customHeight="1">
      <c r="A496" s="47"/>
      <c r="B496" s="71"/>
      <c r="C496" s="60"/>
      <c r="D496" s="48"/>
      <c r="E496" s="168"/>
      <c r="F496" s="148"/>
      <c r="G496" s="139"/>
      <c r="H496" s="134"/>
      <c r="I496" s="134"/>
      <c r="J496" s="47"/>
      <c r="K496" s="47"/>
      <c r="L496" s="140"/>
      <c r="M496" s="140"/>
      <c r="N496" s="148"/>
      <c r="O496" s="48" t="s">
        <v>31</v>
      </c>
      <c r="P496" s="164"/>
      <c r="Q496" s="72">
        <f t="shared" si="224"/>
        <v>0</v>
      </c>
      <c r="R496" s="67" t="s">
        <v>30</v>
      </c>
      <c r="S496" s="28">
        <v>0</v>
      </c>
      <c r="T496" s="67">
        <f t="shared" si="225"/>
        <v>0</v>
      </c>
      <c r="U496" s="67">
        <f t="shared" si="226"/>
        <v>0</v>
      </c>
      <c r="V496" s="60"/>
      <c r="W496" s="127"/>
      <c r="X496" s="85"/>
      <c r="Y496" s="64"/>
      <c r="Z496" s="81"/>
      <c r="AA496" s="63"/>
      <c r="AB496" s="64"/>
      <c r="AC496" s="81"/>
      <c r="AD496" s="64">
        <f t="shared" si="222"/>
        <v>7</v>
      </c>
      <c r="AE496" s="128">
        <f t="shared" si="227"/>
        <v>-7</v>
      </c>
      <c r="AF496" s="47"/>
      <c r="AG496" s="47"/>
      <c r="AH496" s="66">
        <f t="shared" si="211"/>
        <v>0</v>
      </c>
      <c r="AI496" s="68" t="e">
        <f>#REF!+5</f>
        <v>#REF!</v>
      </c>
      <c r="AJ496" s="47"/>
      <c r="AK496" s="69">
        <f t="shared" si="212"/>
        <v>0</v>
      </c>
      <c r="AL496" s="68">
        <f t="shared" si="228"/>
        <v>60</v>
      </c>
      <c r="AM496" s="47"/>
      <c r="AN496" s="60"/>
      <c r="AO496" s="66"/>
      <c r="AP496" s="66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</row>
    <row r="497" spans="1:54" s="129" customFormat="1" ht="24" customHeight="1">
      <c r="A497" s="47"/>
      <c r="B497" s="71"/>
      <c r="C497" s="60"/>
      <c r="D497" s="48"/>
      <c r="E497" s="168"/>
      <c r="F497" s="148"/>
      <c r="G497" s="139"/>
      <c r="H497" s="134"/>
      <c r="I497" s="134"/>
      <c r="J497" s="47"/>
      <c r="K497" s="47"/>
      <c r="L497" s="140"/>
      <c r="M497" s="140"/>
      <c r="N497" s="148"/>
      <c r="O497" s="48" t="s">
        <v>31</v>
      </c>
      <c r="P497" s="164"/>
      <c r="Q497" s="72">
        <f t="shared" si="224"/>
        <v>0</v>
      </c>
      <c r="R497" s="67" t="s">
        <v>30</v>
      </c>
      <c r="S497" s="28">
        <v>0</v>
      </c>
      <c r="T497" s="67">
        <f t="shared" si="225"/>
        <v>0</v>
      </c>
      <c r="U497" s="67">
        <f t="shared" si="226"/>
        <v>0</v>
      </c>
      <c r="V497" s="60"/>
      <c r="W497" s="127"/>
      <c r="X497" s="85"/>
      <c r="Y497" s="64"/>
      <c r="Z497" s="81"/>
      <c r="AA497" s="63"/>
      <c r="AB497" s="64"/>
      <c r="AC497" s="81"/>
      <c r="AD497" s="64">
        <f t="shared" si="222"/>
        <v>7</v>
      </c>
      <c r="AE497" s="128">
        <f t="shared" si="227"/>
        <v>-7</v>
      </c>
      <c r="AF497" s="47"/>
      <c r="AG497" s="47"/>
      <c r="AH497" s="66">
        <f t="shared" si="211"/>
        <v>0</v>
      </c>
      <c r="AI497" s="68" t="e">
        <f>#REF!+5</f>
        <v>#REF!</v>
      </c>
      <c r="AJ497" s="47"/>
      <c r="AK497" s="69">
        <f t="shared" si="212"/>
        <v>0</v>
      </c>
      <c r="AL497" s="68">
        <f t="shared" si="228"/>
        <v>60</v>
      </c>
      <c r="AM497" s="47"/>
      <c r="AN497" s="60"/>
      <c r="AO497" s="66"/>
      <c r="AP497" s="66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</row>
    <row r="498" spans="1:54" s="129" customFormat="1" ht="24" customHeight="1">
      <c r="A498" s="47"/>
      <c r="B498" s="71"/>
      <c r="C498" s="60"/>
      <c r="D498" s="48"/>
      <c r="E498" s="168"/>
      <c r="F498" s="148"/>
      <c r="G498" s="139"/>
      <c r="H498" s="134"/>
      <c r="I498" s="134"/>
      <c r="J498" s="47"/>
      <c r="K498" s="47"/>
      <c r="L498" s="140"/>
      <c r="M498" s="140"/>
      <c r="N498" s="148"/>
      <c r="O498" s="48" t="s">
        <v>31</v>
      </c>
      <c r="P498" s="164"/>
      <c r="Q498" s="72">
        <f t="shared" si="224"/>
        <v>0</v>
      </c>
      <c r="R498" s="67" t="s">
        <v>30</v>
      </c>
      <c r="S498" s="28">
        <v>0</v>
      </c>
      <c r="T498" s="67">
        <f t="shared" si="225"/>
        <v>0</v>
      </c>
      <c r="U498" s="67">
        <f t="shared" si="226"/>
        <v>0</v>
      </c>
      <c r="V498" s="60"/>
      <c r="W498" s="127"/>
      <c r="X498" s="85"/>
      <c r="Y498" s="64"/>
      <c r="Z498" s="81"/>
      <c r="AA498" s="63"/>
      <c r="AB498" s="64"/>
      <c r="AC498" s="81"/>
      <c r="AD498" s="64">
        <f t="shared" si="222"/>
        <v>7</v>
      </c>
      <c r="AE498" s="128">
        <f t="shared" si="227"/>
        <v>-7</v>
      </c>
      <c r="AF498" s="47"/>
      <c r="AG498" s="47"/>
      <c r="AH498" s="66">
        <f t="shared" si="211"/>
        <v>0</v>
      </c>
      <c r="AI498" s="68" t="e">
        <f>#REF!+5</f>
        <v>#REF!</v>
      </c>
      <c r="AJ498" s="47"/>
      <c r="AK498" s="69">
        <f t="shared" si="212"/>
        <v>0</v>
      </c>
      <c r="AL498" s="68">
        <f t="shared" si="228"/>
        <v>60</v>
      </c>
      <c r="AM498" s="47"/>
      <c r="AN498" s="60"/>
      <c r="AO498" s="66"/>
      <c r="AP498" s="66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</row>
    <row r="499" spans="1:54" s="129" customFormat="1" ht="24" customHeight="1">
      <c r="A499" s="47"/>
      <c r="B499" s="71"/>
      <c r="C499" s="60"/>
      <c r="D499" s="48"/>
      <c r="E499" s="168"/>
      <c r="F499" s="148"/>
      <c r="G499" s="139"/>
      <c r="H499" s="134"/>
      <c r="I499" s="134"/>
      <c r="J499" s="47"/>
      <c r="K499" s="47"/>
      <c r="L499" s="140"/>
      <c r="M499" s="140"/>
      <c r="N499" s="148"/>
      <c r="O499" s="48" t="s">
        <v>31</v>
      </c>
      <c r="P499" s="164"/>
      <c r="Q499" s="72">
        <f t="shared" si="224"/>
        <v>0</v>
      </c>
      <c r="R499" s="67" t="s">
        <v>30</v>
      </c>
      <c r="S499" s="28">
        <v>0</v>
      </c>
      <c r="T499" s="67">
        <f t="shared" si="225"/>
        <v>0</v>
      </c>
      <c r="U499" s="67">
        <f t="shared" si="226"/>
        <v>0</v>
      </c>
      <c r="V499" s="60"/>
      <c r="W499" s="127"/>
      <c r="X499" s="85"/>
      <c r="Y499" s="64"/>
      <c r="Z499" s="81"/>
      <c r="AA499" s="63"/>
      <c r="AB499" s="64"/>
      <c r="AC499" s="81"/>
      <c r="AD499" s="64">
        <f t="shared" si="222"/>
        <v>7</v>
      </c>
      <c r="AE499" s="128">
        <f t="shared" si="227"/>
        <v>-7</v>
      </c>
      <c r="AF499" s="47"/>
      <c r="AG499" s="47"/>
      <c r="AH499" s="66">
        <f t="shared" si="211"/>
        <v>0</v>
      </c>
      <c r="AI499" s="68" t="e">
        <f>#REF!+5</f>
        <v>#REF!</v>
      </c>
      <c r="AJ499" s="47"/>
      <c r="AK499" s="69">
        <f t="shared" si="212"/>
        <v>0</v>
      </c>
      <c r="AL499" s="68">
        <f t="shared" si="228"/>
        <v>60</v>
      </c>
      <c r="AM499" s="47"/>
      <c r="AN499" s="60"/>
      <c r="AO499" s="66"/>
      <c r="AP499" s="66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</row>
    <row r="500" spans="1:54" s="129" customFormat="1" ht="24" customHeight="1">
      <c r="A500" s="47"/>
      <c r="B500" s="71"/>
      <c r="C500" s="60"/>
      <c r="D500" s="48"/>
      <c r="E500" s="168"/>
      <c r="F500" s="148"/>
      <c r="G500" s="139"/>
      <c r="H500" s="134"/>
      <c r="I500" s="134"/>
      <c r="J500" s="47"/>
      <c r="K500" s="47"/>
      <c r="L500" s="140"/>
      <c r="M500" s="140"/>
      <c r="N500" s="148"/>
      <c r="O500" s="48" t="s">
        <v>31</v>
      </c>
      <c r="P500" s="164"/>
      <c r="Q500" s="72">
        <f t="shared" si="224"/>
        <v>0</v>
      </c>
      <c r="R500" s="67" t="s">
        <v>30</v>
      </c>
      <c r="S500" s="28">
        <v>0</v>
      </c>
      <c r="T500" s="67">
        <f t="shared" si="225"/>
        <v>0</v>
      </c>
      <c r="U500" s="67">
        <f t="shared" si="226"/>
        <v>0</v>
      </c>
      <c r="V500" s="60"/>
      <c r="W500" s="127"/>
      <c r="X500" s="85"/>
      <c r="Y500" s="64"/>
      <c r="Z500" s="81"/>
      <c r="AA500" s="63"/>
      <c r="AB500" s="64"/>
      <c r="AC500" s="81"/>
      <c r="AD500" s="64">
        <f t="shared" si="222"/>
        <v>7</v>
      </c>
      <c r="AE500" s="128">
        <f t="shared" si="227"/>
        <v>-7</v>
      </c>
      <c r="AF500" s="47"/>
      <c r="AG500" s="47"/>
      <c r="AH500" s="66">
        <f t="shared" si="211"/>
        <v>0</v>
      </c>
      <c r="AI500" s="68" t="e">
        <f>#REF!+5</f>
        <v>#REF!</v>
      </c>
      <c r="AJ500" s="47"/>
      <c r="AK500" s="69">
        <f t="shared" si="212"/>
        <v>0</v>
      </c>
      <c r="AL500" s="68">
        <f t="shared" si="228"/>
        <v>60</v>
      </c>
      <c r="AM500" s="47"/>
      <c r="AN500" s="60"/>
      <c r="AO500" s="66"/>
      <c r="AP500" s="66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</row>
    <row r="501" spans="1:54" s="129" customFormat="1" ht="24" customHeight="1">
      <c r="A501" s="47"/>
      <c r="B501" s="71"/>
      <c r="C501" s="60"/>
      <c r="D501" s="48"/>
      <c r="E501" s="168"/>
      <c r="F501" s="148"/>
      <c r="G501" s="139"/>
      <c r="H501" s="134"/>
      <c r="I501" s="134"/>
      <c r="J501" s="47"/>
      <c r="K501" s="47"/>
      <c r="L501" s="140"/>
      <c r="M501" s="140"/>
      <c r="N501" s="148"/>
      <c r="O501" s="48" t="s">
        <v>31</v>
      </c>
      <c r="P501" s="164"/>
      <c r="Q501" s="72">
        <f t="shared" si="224"/>
        <v>0</v>
      </c>
      <c r="R501" s="67" t="s">
        <v>30</v>
      </c>
      <c r="S501" s="28">
        <v>0</v>
      </c>
      <c r="T501" s="67">
        <f t="shared" si="225"/>
        <v>0</v>
      </c>
      <c r="U501" s="67">
        <f t="shared" si="226"/>
        <v>0</v>
      </c>
      <c r="V501" s="60"/>
      <c r="W501" s="127"/>
      <c r="X501" s="85"/>
      <c r="Y501" s="64"/>
      <c r="Z501" s="81"/>
      <c r="AA501" s="63"/>
      <c r="AB501" s="64"/>
      <c r="AC501" s="81"/>
      <c r="AD501" s="64">
        <f t="shared" si="222"/>
        <v>7</v>
      </c>
      <c r="AE501" s="128">
        <f t="shared" si="227"/>
        <v>-7</v>
      </c>
      <c r="AF501" s="47"/>
      <c r="AG501" s="47"/>
      <c r="AH501" s="66">
        <f t="shared" si="211"/>
        <v>0</v>
      </c>
      <c r="AI501" s="68" t="e">
        <f>#REF!+5</f>
        <v>#REF!</v>
      </c>
      <c r="AJ501" s="47"/>
      <c r="AK501" s="69">
        <f t="shared" si="212"/>
        <v>0</v>
      </c>
      <c r="AL501" s="68">
        <f t="shared" si="228"/>
        <v>60</v>
      </c>
      <c r="AM501" s="47"/>
      <c r="AN501" s="60"/>
      <c r="AO501" s="66"/>
      <c r="AP501" s="66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</row>
    <row r="502" spans="1:54" s="129" customFormat="1" ht="24" customHeight="1">
      <c r="A502" s="47"/>
      <c r="B502" s="71"/>
      <c r="C502" s="60"/>
      <c r="D502" s="48"/>
      <c r="E502" s="168"/>
      <c r="F502" s="148"/>
      <c r="G502" s="139"/>
      <c r="H502" s="134"/>
      <c r="I502" s="134"/>
      <c r="J502" s="47"/>
      <c r="K502" s="47"/>
      <c r="L502" s="140"/>
      <c r="M502" s="140"/>
      <c r="N502" s="148"/>
      <c r="O502" s="48" t="s">
        <v>31</v>
      </c>
      <c r="P502" s="164"/>
      <c r="Q502" s="72">
        <f t="shared" si="224"/>
        <v>0</v>
      </c>
      <c r="R502" s="67" t="s">
        <v>30</v>
      </c>
      <c r="S502" s="28">
        <v>0</v>
      </c>
      <c r="T502" s="67">
        <f t="shared" si="225"/>
        <v>0</v>
      </c>
      <c r="U502" s="67">
        <f t="shared" si="226"/>
        <v>0</v>
      </c>
      <c r="V502" s="60"/>
      <c r="W502" s="127"/>
      <c r="X502" s="85"/>
      <c r="Y502" s="64"/>
      <c r="Z502" s="81"/>
      <c r="AA502" s="63"/>
      <c r="AB502" s="64"/>
      <c r="AC502" s="81"/>
      <c r="AD502" s="64">
        <f t="shared" si="222"/>
        <v>7</v>
      </c>
      <c r="AE502" s="128">
        <f t="shared" si="227"/>
        <v>-7</v>
      </c>
      <c r="AF502" s="47"/>
      <c r="AG502" s="47"/>
      <c r="AH502" s="66">
        <f t="shared" si="211"/>
        <v>0</v>
      </c>
      <c r="AI502" s="68" t="e">
        <f>#REF!+5</f>
        <v>#REF!</v>
      </c>
      <c r="AJ502" s="47"/>
      <c r="AK502" s="69">
        <f t="shared" si="212"/>
        <v>0</v>
      </c>
      <c r="AL502" s="68">
        <f t="shared" si="228"/>
        <v>60</v>
      </c>
      <c r="AM502" s="47"/>
      <c r="AN502" s="60"/>
      <c r="AO502" s="66"/>
      <c r="AP502" s="66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</row>
    <row r="503" spans="1:54" s="129" customFormat="1" ht="24" customHeight="1">
      <c r="A503" s="47"/>
      <c r="B503" s="71"/>
      <c r="C503" s="60"/>
      <c r="D503" s="48"/>
      <c r="E503" s="168"/>
      <c r="F503" s="148"/>
      <c r="G503" s="139"/>
      <c r="H503" s="134"/>
      <c r="I503" s="134"/>
      <c r="J503" s="47"/>
      <c r="K503" s="47"/>
      <c r="L503" s="140"/>
      <c r="M503" s="140"/>
      <c r="N503" s="148"/>
      <c r="O503" s="48" t="s">
        <v>31</v>
      </c>
      <c r="P503" s="164"/>
      <c r="Q503" s="72">
        <f t="shared" si="224"/>
        <v>0</v>
      </c>
      <c r="R503" s="67" t="s">
        <v>30</v>
      </c>
      <c r="S503" s="28">
        <v>0</v>
      </c>
      <c r="T503" s="67">
        <f t="shared" si="225"/>
        <v>0</v>
      </c>
      <c r="U503" s="67">
        <f t="shared" si="226"/>
        <v>0</v>
      </c>
      <c r="V503" s="60"/>
      <c r="W503" s="127"/>
      <c r="X503" s="85"/>
      <c r="Y503" s="64"/>
      <c r="Z503" s="81"/>
      <c r="AA503" s="63"/>
      <c r="AB503" s="64"/>
      <c r="AC503" s="81"/>
      <c r="AD503" s="64">
        <f t="shared" si="222"/>
        <v>7</v>
      </c>
      <c r="AE503" s="128">
        <f t="shared" si="227"/>
        <v>-7</v>
      </c>
      <c r="AF503" s="47"/>
      <c r="AG503" s="47"/>
      <c r="AH503" s="66">
        <f t="shared" si="211"/>
        <v>0</v>
      </c>
      <c r="AI503" s="68" t="e">
        <f>#REF!+5</f>
        <v>#REF!</v>
      </c>
      <c r="AJ503" s="47"/>
      <c r="AK503" s="69">
        <f t="shared" si="212"/>
        <v>0</v>
      </c>
      <c r="AL503" s="68">
        <f t="shared" si="228"/>
        <v>60</v>
      </c>
      <c r="AM503" s="47"/>
      <c r="AN503" s="60"/>
      <c r="AO503" s="66"/>
      <c r="AP503" s="66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</row>
    <row r="504" spans="1:54" s="129" customFormat="1" ht="24" customHeight="1">
      <c r="A504" s="47"/>
      <c r="B504" s="71"/>
      <c r="C504" s="60"/>
      <c r="D504" s="48"/>
      <c r="E504" s="168"/>
      <c r="F504" s="148"/>
      <c r="G504" s="139"/>
      <c r="H504" s="134"/>
      <c r="I504" s="134"/>
      <c r="J504" s="47"/>
      <c r="K504" s="47"/>
      <c r="L504" s="140"/>
      <c r="M504" s="140"/>
      <c r="N504" s="148"/>
      <c r="O504" s="48" t="s">
        <v>31</v>
      </c>
      <c r="P504" s="164"/>
      <c r="Q504" s="72">
        <f t="shared" si="224"/>
        <v>0</v>
      </c>
      <c r="R504" s="67" t="s">
        <v>30</v>
      </c>
      <c r="S504" s="28">
        <v>0</v>
      </c>
      <c r="T504" s="67">
        <f t="shared" si="225"/>
        <v>0</v>
      </c>
      <c r="U504" s="67">
        <f t="shared" si="226"/>
        <v>0</v>
      </c>
      <c r="V504" s="60"/>
      <c r="W504" s="127"/>
      <c r="X504" s="85"/>
      <c r="Y504" s="64"/>
      <c r="Z504" s="81"/>
      <c r="AA504" s="63"/>
      <c r="AB504" s="64"/>
      <c r="AC504" s="81"/>
      <c r="AD504" s="64">
        <f t="shared" si="222"/>
        <v>7</v>
      </c>
      <c r="AE504" s="128">
        <f t="shared" si="227"/>
        <v>-7</v>
      </c>
      <c r="AF504" s="47"/>
      <c r="AG504" s="47"/>
      <c r="AH504" s="66">
        <f t="shared" si="211"/>
        <v>0</v>
      </c>
      <c r="AI504" s="68" t="e">
        <f>#REF!+5</f>
        <v>#REF!</v>
      </c>
      <c r="AJ504" s="47"/>
      <c r="AK504" s="69">
        <f t="shared" si="212"/>
        <v>0</v>
      </c>
      <c r="AL504" s="68">
        <f t="shared" si="228"/>
        <v>60</v>
      </c>
      <c r="AM504" s="47"/>
      <c r="AN504" s="60"/>
      <c r="AO504" s="66"/>
      <c r="AP504" s="66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</row>
    <row r="505" spans="1:54" s="129" customFormat="1" ht="24" customHeight="1">
      <c r="A505" s="47"/>
      <c r="B505" s="71"/>
      <c r="C505" s="60"/>
      <c r="D505" s="48"/>
      <c r="E505" s="168"/>
      <c r="F505" s="148"/>
      <c r="G505" s="139"/>
      <c r="H505" s="134"/>
      <c r="I505" s="134"/>
      <c r="J505" s="47"/>
      <c r="K505" s="47"/>
      <c r="L505" s="140"/>
      <c r="M505" s="140"/>
      <c r="N505" s="148"/>
      <c r="O505" s="48" t="s">
        <v>31</v>
      </c>
      <c r="P505" s="164"/>
      <c r="Q505" s="72">
        <f t="shared" si="224"/>
        <v>0</v>
      </c>
      <c r="R505" s="67" t="s">
        <v>30</v>
      </c>
      <c r="S505" s="28">
        <v>0</v>
      </c>
      <c r="T505" s="67">
        <f t="shared" si="225"/>
        <v>0</v>
      </c>
      <c r="U505" s="67">
        <f t="shared" si="226"/>
        <v>0</v>
      </c>
      <c r="V505" s="60"/>
      <c r="W505" s="127"/>
      <c r="X505" s="85"/>
      <c r="Y505" s="64"/>
      <c r="Z505" s="81"/>
      <c r="AA505" s="63"/>
      <c r="AB505" s="64"/>
      <c r="AC505" s="81"/>
      <c r="AD505" s="64">
        <f t="shared" ref="AD505:AD512" si="229">Y505+7</f>
        <v>7</v>
      </c>
      <c r="AE505" s="128">
        <f t="shared" ref="AE505:AE531" si="230">AC505-AD505</f>
        <v>-7</v>
      </c>
      <c r="AF505" s="47"/>
      <c r="AG505" s="47"/>
      <c r="AH505" s="66">
        <f t="shared" si="211"/>
        <v>0</v>
      </c>
      <c r="AI505" s="68" t="e">
        <f>#REF!+5</f>
        <v>#REF!</v>
      </c>
      <c r="AJ505" s="47"/>
      <c r="AK505" s="69">
        <f t="shared" si="212"/>
        <v>0</v>
      </c>
      <c r="AL505" s="68">
        <f t="shared" si="228"/>
        <v>60</v>
      </c>
      <c r="AM505" s="47"/>
      <c r="AN505" s="60"/>
      <c r="AO505" s="66"/>
      <c r="AP505" s="66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</row>
    <row r="506" spans="1:54" s="129" customFormat="1" ht="24" customHeight="1">
      <c r="A506" s="47"/>
      <c r="B506" s="71"/>
      <c r="C506" s="60"/>
      <c r="D506" s="48"/>
      <c r="E506" s="168"/>
      <c r="F506" s="148"/>
      <c r="G506" s="139"/>
      <c r="H506" s="134"/>
      <c r="I506" s="134"/>
      <c r="J506" s="47"/>
      <c r="K506" s="47"/>
      <c r="L506" s="140"/>
      <c r="M506" s="140"/>
      <c r="N506" s="148"/>
      <c r="O506" s="48" t="s">
        <v>31</v>
      </c>
      <c r="P506" s="164"/>
      <c r="Q506" s="72">
        <f t="shared" si="224"/>
        <v>0</v>
      </c>
      <c r="R506" s="67" t="s">
        <v>30</v>
      </c>
      <c r="S506" s="28">
        <v>0</v>
      </c>
      <c r="T506" s="67">
        <f t="shared" si="225"/>
        <v>0</v>
      </c>
      <c r="U506" s="67">
        <f t="shared" si="226"/>
        <v>0</v>
      </c>
      <c r="V506" s="60"/>
      <c r="W506" s="127"/>
      <c r="X506" s="85"/>
      <c r="Y506" s="64"/>
      <c r="Z506" s="81"/>
      <c r="AA506" s="63"/>
      <c r="AB506" s="64"/>
      <c r="AC506" s="81"/>
      <c r="AD506" s="64">
        <f t="shared" si="229"/>
        <v>7</v>
      </c>
      <c r="AE506" s="128">
        <f t="shared" si="230"/>
        <v>-7</v>
      </c>
      <c r="AF506" s="47"/>
      <c r="AG506" s="47"/>
      <c r="AH506" s="66">
        <f t="shared" si="211"/>
        <v>0</v>
      </c>
      <c r="AI506" s="68" t="e">
        <f>#REF!+5</f>
        <v>#REF!</v>
      </c>
      <c r="AJ506" s="47"/>
      <c r="AK506" s="69">
        <f t="shared" si="212"/>
        <v>0</v>
      </c>
      <c r="AL506" s="68">
        <f t="shared" si="228"/>
        <v>60</v>
      </c>
      <c r="AM506" s="47"/>
      <c r="AN506" s="60"/>
      <c r="AO506" s="66"/>
      <c r="AP506" s="66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</row>
    <row r="507" spans="1:54" s="129" customFormat="1" ht="24" customHeight="1">
      <c r="A507" s="47"/>
      <c r="B507" s="71"/>
      <c r="C507" s="60"/>
      <c r="D507" s="48"/>
      <c r="E507" s="168"/>
      <c r="F507" s="148"/>
      <c r="G507" s="139"/>
      <c r="H507" s="134"/>
      <c r="I507" s="134"/>
      <c r="J507" s="47"/>
      <c r="K507" s="47"/>
      <c r="L507" s="140"/>
      <c r="M507" s="140"/>
      <c r="N507" s="148"/>
      <c r="O507" s="48" t="s">
        <v>31</v>
      </c>
      <c r="P507" s="164"/>
      <c r="Q507" s="72">
        <f t="shared" si="224"/>
        <v>0</v>
      </c>
      <c r="R507" s="67" t="s">
        <v>30</v>
      </c>
      <c r="S507" s="28">
        <v>0</v>
      </c>
      <c r="T507" s="67">
        <f t="shared" si="225"/>
        <v>0</v>
      </c>
      <c r="U507" s="67">
        <f t="shared" si="226"/>
        <v>0</v>
      </c>
      <c r="V507" s="60"/>
      <c r="W507" s="127"/>
      <c r="X507" s="85"/>
      <c r="Y507" s="64"/>
      <c r="Z507" s="81"/>
      <c r="AA507" s="63"/>
      <c r="AB507" s="64"/>
      <c r="AC507" s="81"/>
      <c r="AD507" s="64">
        <f t="shared" si="229"/>
        <v>7</v>
      </c>
      <c r="AE507" s="128">
        <f t="shared" si="230"/>
        <v>-7</v>
      </c>
      <c r="AF507" s="47"/>
      <c r="AG507" s="47"/>
      <c r="AH507" s="66">
        <f t="shared" si="211"/>
        <v>0</v>
      </c>
      <c r="AI507" s="68" t="e">
        <f>#REF!+5</f>
        <v>#REF!</v>
      </c>
      <c r="AJ507" s="47"/>
      <c r="AK507" s="69">
        <f t="shared" si="212"/>
        <v>0</v>
      </c>
      <c r="AL507" s="68">
        <f t="shared" si="228"/>
        <v>60</v>
      </c>
      <c r="AM507" s="47"/>
      <c r="AN507" s="60"/>
      <c r="AO507" s="66"/>
      <c r="AP507" s="66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</row>
    <row r="508" spans="1:54" s="129" customFormat="1" ht="24" customHeight="1">
      <c r="A508" s="47"/>
      <c r="B508" s="71"/>
      <c r="C508" s="60"/>
      <c r="D508" s="48"/>
      <c r="E508" s="168"/>
      <c r="F508" s="148"/>
      <c r="G508" s="139"/>
      <c r="H508" s="134"/>
      <c r="I508" s="134"/>
      <c r="J508" s="47"/>
      <c r="K508" s="47"/>
      <c r="L508" s="140"/>
      <c r="M508" s="140"/>
      <c r="N508" s="148"/>
      <c r="O508" s="48" t="s">
        <v>31</v>
      </c>
      <c r="P508" s="164"/>
      <c r="Q508" s="72">
        <f t="shared" si="224"/>
        <v>0</v>
      </c>
      <c r="R508" s="67" t="s">
        <v>30</v>
      </c>
      <c r="S508" s="28">
        <v>0</v>
      </c>
      <c r="T508" s="67">
        <f t="shared" si="225"/>
        <v>0</v>
      </c>
      <c r="U508" s="67">
        <f t="shared" si="226"/>
        <v>0</v>
      </c>
      <c r="V508" s="60"/>
      <c r="W508" s="127"/>
      <c r="X508" s="85"/>
      <c r="Y508" s="64"/>
      <c r="Z508" s="81"/>
      <c r="AA508" s="63"/>
      <c r="AB508" s="64"/>
      <c r="AC508" s="81"/>
      <c r="AD508" s="64">
        <f t="shared" si="229"/>
        <v>7</v>
      </c>
      <c r="AE508" s="128">
        <f t="shared" si="230"/>
        <v>-7</v>
      </c>
      <c r="AF508" s="47"/>
      <c r="AG508" s="47"/>
      <c r="AH508" s="66">
        <f t="shared" si="211"/>
        <v>0</v>
      </c>
      <c r="AI508" s="68" t="e">
        <f>#REF!+5</f>
        <v>#REF!</v>
      </c>
      <c r="AJ508" s="47"/>
      <c r="AK508" s="69">
        <f t="shared" si="212"/>
        <v>0</v>
      </c>
      <c r="AL508" s="68">
        <f t="shared" si="228"/>
        <v>60</v>
      </c>
      <c r="AM508" s="47"/>
      <c r="AN508" s="60"/>
      <c r="AO508" s="66"/>
      <c r="AP508" s="66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</row>
    <row r="509" spans="1:54" s="129" customFormat="1" ht="24" customHeight="1">
      <c r="A509" s="47"/>
      <c r="B509" s="71"/>
      <c r="C509" s="60"/>
      <c r="D509" s="48"/>
      <c r="E509" s="169"/>
      <c r="F509" s="148"/>
      <c r="G509" s="139"/>
      <c r="H509" s="134"/>
      <c r="I509" s="134"/>
      <c r="J509" s="47"/>
      <c r="K509" s="47"/>
      <c r="L509" s="140"/>
      <c r="M509" s="140"/>
      <c r="N509" s="148"/>
      <c r="O509" s="48" t="s">
        <v>31</v>
      </c>
      <c r="P509" s="164"/>
      <c r="Q509" s="72">
        <f t="shared" si="224"/>
        <v>0</v>
      </c>
      <c r="R509" s="67" t="s">
        <v>30</v>
      </c>
      <c r="S509" s="28">
        <v>0</v>
      </c>
      <c r="T509" s="67">
        <f t="shared" si="225"/>
        <v>0</v>
      </c>
      <c r="U509" s="67">
        <f t="shared" si="226"/>
        <v>0</v>
      </c>
      <c r="V509" s="60"/>
      <c r="W509" s="127"/>
      <c r="X509" s="85"/>
      <c r="Y509" s="64"/>
      <c r="Z509" s="81"/>
      <c r="AA509" s="63"/>
      <c r="AB509" s="64"/>
      <c r="AC509" s="81"/>
      <c r="AD509" s="64">
        <f t="shared" si="229"/>
        <v>7</v>
      </c>
      <c r="AE509" s="128">
        <f t="shared" si="230"/>
        <v>-7</v>
      </c>
      <c r="AF509" s="47"/>
      <c r="AG509" s="47"/>
      <c r="AH509" s="66">
        <f t="shared" si="211"/>
        <v>0</v>
      </c>
      <c r="AI509" s="68" t="e">
        <f>#REF!+5</f>
        <v>#REF!</v>
      </c>
      <c r="AJ509" s="47"/>
      <c r="AK509" s="69">
        <f t="shared" si="212"/>
        <v>0</v>
      </c>
      <c r="AL509" s="68">
        <f t="shared" si="228"/>
        <v>60</v>
      </c>
      <c r="AM509" s="47"/>
      <c r="AN509" s="60"/>
      <c r="AO509" s="66"/>
      <c r="AP509" s="66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</row>
    <row r="510" spans="1:54" s="129" customFormat="1" ht="24" customHeight="1">
      <c r="A510" s="47"/>
      <c r="B510" s="71"/>
      <c r="C510" s="60"/>
      <c r="D510" s="48"/>
      <c r="E510" s="169"/>
      <c r="F510" s="148"/>
      <c r="G510" s="139"/>
      <c r="H510" s="134"/>
      <c r="I510" s="134"/>
      <c r="J510" s="47"/>
      <c r="K510" s="47"/>
      <c r="L510" s="140"/>
      <c r="M510" s="140"/>
      <c r="N510" s="148"/>
      <c r="O510" s="48" t="s">
        <v>31</v>
      </c>
      <c r="P510" s="164"/>
      <c r="Q510" s="72">
        <f t="shared" si="224"/>
        <v>0</v>
      </c>
      <c r="R510" s="67" t="s">
        <v>30</v>
      </c>
      <c r="S510" s="28">
        <v>0</v>
      </c>
      <c r="T510" s="67">
        <f t="shared" si="225"/>
        <v>0</v>
      </c>
      <c r="U510" s="67">
        <f t="shared" si="226"/>
        <v>0</v>
      </c>
      <c r="V510" s="60"/>
      <c r="W510" s="127"/>
      <c r="X510" s="85"/>
      <c r="Y510" s="64"/>
      <c r="Z510" s="81"/>
      <c r="AA510" s="63"/>
      <c r="AB510" s="64"/>
      <c r="AC510" s="81"/>
      <c r="AD510" s="64">
        <f t="shared" si="229"/>
        <v>7</v>
      </c>
      <c r="AE510" s="128">
        <f t="shared" si="230"/>
        <v>-7</v>
      </c>
      <c r="AF510" s="47"/>
      <c r="AG510" s="47"/>
      <c r="AH510" s="66">
        <f t="shared" si="211"/>
        <v>0</v>
      </c>
      <c r="AI510" s="68" t="e">
        <f>#REF!+5</f>
        <v>#REF!</v>
      </c>
      <c r="AJ510" s="47"/>
      <c r="AK510" s="69">
        <f t="shared" si="212"/>
        <v>0</v>
      </c>
      <c r="AL510" s="68">
        <f t="shared" si="228"/>
        <v>60</v>
      </c>
      <c r="AM510" s="47"/>
      <c r="AN510" s="60"/>
      <c r="AO510" s="66"/>
      <c r="AP510" s="66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</row>
    <row r="511" spans="1:54" s="129" customFormat="1" ht="24" customHeight="1">
      <c r="A511" s="47"/>
      <c r="B511" s="71"/>
      <c r="C511" s="60"/>
      <c r="D511" s="48"/>
      <c r="E511" s="169"/>
      <c r="F511" s="148"/>
      <c r="G511" s="165"/>
      <c r="H511" s="134"/>
      <c r="I511" s="134"/>
      <c r="J511" s="47"/>
      <c r="K511" s="47"/>
      <c r="L511" s="140"/>
      <c r="M511" s="140"/>
      <c r="N511" s="166"/>
      <c r="O511" s="48" t="s">
        <v>31</v>
      </c>
      <c r="P511" s="167"/>
      <c r="Q511" s="72">
        <f t="shared" si="224"/>
        <v>0</v>
      </c>
      <c r="R511" s="67" t="s">
        <v>30</v>
      </c>
      <c r="S511" s="28">
        <v>0</v>
      </c>
      <c r="T511" s="67">
        <f t="shared" si="225"/>
        <v>0</v>
      </c>
      <c r="U511" s="67">
        <f t="shared" si="226"/>
        <v>0</v>
      </c>
      <c r="V511" s="60"/>
      <c r="W511" s="127"/>
      <c r="X511" s="85"/>
      <c r="Y511" s="64"/>
      <c r="Z511" s="81"/>
      <c r="AA511" s="63"/>
      <c r="AB511" s="64"/>
      <c r="AC511" s="81"/>
      <c r="AD511" s="64">
        <f t="shared" si="229"/>
        <v>7</v>
      </c>
      <c r="AE511" s="128">
        <f t="shared" si="230"/>
        <v>-7</v>
      </c>
      <c r="AF511" s="47"/>
      <c r="AG511" s="47"/>
      <c r="AH511" s="66">
        <f t="shared" si="211"/>
        <v>0</v>
      </c>
      <c r="AI511" s="68" t="e">
        <f>#REF!+5</f>
        <v>#REF!</v>
      </c>
      <c r="AJ511" s="47"/>
      <c r="AK511" s="69">
        <f t="shared" si="212"/>
        <v>0</v>
      </c>
      <c r="AL511" s="68">
        <f t="shared" si="228"/>
        <v>60</v>
      </c>
      <c r="AM511" s="47"/>
      <c r="AN511" s="60"/>
      <c r="AO511" s="66"/>
      <c r="AP511" s="66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</row>
    <row r="512" spans="1:54" s="129" customFormat="1" ht="24" customHeight="1">
      <c r="A512" s="47"/>
      <c r="B512" s="71"/>
      <c r="C512" s="60"/>
      <c r="D512" s="48"/>
      <c r="E512" s="141"/>
      <c r="F512" s="148"/>
      <c r="G512" s="139"/>
      <c r="H512" s="134"/>
      <c r="I512" s="134"/>
      <c r="J512" s="47"/>
      <c r="K512" s="47"/>
      <c r="L512" s="140"/>
      <c r="M512" s="140"/>
      <c r="N512" s="148"/>
      <c r="O512" s="48" t="s">
        <v>31</v>
      </c>
      <c r="P512" s="164"/>
      <c r="Q512" s="72">
        <f t="shared" ref="Q512:Q523" si="231">M512*P512</f>
        <v>0</v>
      </c>
      <c r="R512" s="67" t="s">
        <v>30</v>
      </c>
      <c r="S512" s="28">
        <v>0</v>
      </c>
      <c r="T512" s="67">
        <f t="shared" si="225"/>
        <v>0</v>
      </c>
      <c r="U512" s="67">
        <f t="shared" si="226"/>
        <v>0</v>
      </c>
      <c r="V512" s="47"/>
      <c r="W512" s="127"/>
      <c r="X512" s="85"/>
      <c r="Y512" s="64"/>
      <c r="Z512" s="81"/>
      <c r="AA512" s="63"/>
      <c r="AB512" s="64"/>
      <c r="AC512" s="81"/>
      <c r="AD512" s="64">
        <f t="shared" si="229"/>
        <v>7</v>
      </c>
      <c r="AE512" s="128">
        <f t="shared" si="230"/>
        <v>-7</v>
      </c>
      <c r="AF512" s="47"/>
      <c r="AG512" s="47"/>
      <c r="AH512" s="66">
        <f t="shared" si="211"/>
        <v>0</v>
      </c>
      <c r="AI512" s="68" t="e">
        <f>#REF!+5</f>
        <v>#REF!</v>
      </c>
      <c r="AJ512" s="47"/>
      <c r="AK512" s="69">
        <f t="shared" si="212"/>
        <v>0</v>
      </c>
      <c r="AL512" s="68">
        <f t="shared" si="228"/>
        <v>60</v>
      </c>
      <c r="AM512" s="47"/>
      <c r="AN512" s="60"/>
      <c r="AO512" s="66"/>
      <c r="AP512" s="66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</row>
    <row r="513" spans="1:54" s="129" customFormat="1" ht="24" customHeight="1">
      <c r="A513" s="47"/>
      <c r="B513" s="71"/>
      <c r="C513" s="60"/>
      <c r="D513" s="48"/>
      <c r="E513" s="141"/>
      <c r="F513" s="148"/>
      <c r="G513" s="139"/>
      <c r="H513" s="134"/>
      <c r="I513" s="134"/>
      <c r="J513" s="47"/>
      <c r="K513" s="47"/>
      <c r="L513" s="140"/>
      <c r="M513" s="140"/>
      <c r="N513" s="148"/>
      <c r="O513" s="48" t="s">
        <v>31</v>
      </c>
      <c r="P513" s="164"/>
      <c r="Q513" s="72">
        <f t="shared" si="231"/>
        <v>0</v>
      </c>
      <c r="R513" s="67" t="s">
        <v>30</v>
      </c>
      <c r="S513" s="28">
        <v>0</v>
      </c>
      <c r="T513" s="67">
        <f t="shared" si="225"/>
        <v>0</v>
      </c>
      <c r="U513" s="67">
        <f t="shared" ref="U513:U523" si="232">P513-S513</f>
        <v>0</v>
      </c>
      <c r="V513" s="47"/>
      <c r="W513" s="127"/>
      <c r="X513" s="85"/>
      <c r="Y513" s="64"/>
      <c r="Z513" s="81"/>
      <c r="AA513" s="63"/>
      <c r="AB513" s="64"/>
      <c r="AC513" s="81"/>
      <c r="AD513" s="64">
        <f t="shared" ref="AD513:AD521" si="233">Y513+7</f>
        <v>7</v>
      </c>
      <c r="AE513" s="128">
        <f t="shared" si="230"/>
        <v>-7</v>
      </c>
      <c r="AF513" s="47"/>
      <c r="AG513" s="47"/>
      <c r="AH513" s="66">
        <f t="shared" si="211"/>
        <v>0</v>
      </c>
      <c r="AI513" s="68" t="e">
        <f>#REF!+5</f>
        <v>#REF!</v>
      </c>
      <c r="AJ513" s="47"/>
      <c r="AK513" s="69">
        <f t="shared" si="212"/>
        <v>0</v>
      </c>
      <c r="AL513" s="68">
        <f t="shared" si="228"/>
        <v>60</v>
      </c>
      <c r="AM513" s="47"/>
      <c r="AN513" s="60"/>
      <c r="AO513" s="66"/>
      <c r="AP513" s="66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</row>
    <row r="514" spans="1:54" s="129" customFormat="1" ht="24" customHeight="1">
      <c r="A514" s="47"/>
      <c r="B514" s="71"/>
      <c r="C514" s="60"/>
      <c r="D514" s="48"/>
      <c r="E514" s="141"/>
      <c r="F514" s="148"/>
      <c r="G514" s="139"/>
      <c r="H514" s="134"/>
      <c r="I514" s="134"/>
      <c r="J514" s="47"/>
      <c r="K514" s="47"/>
      <c r="L514" s="140"/>
      <c r="M514" s="140"/>
      <c r="N514" s="148"/>
      <c r="O514" s="48" t="s">
        <v>31</v>
      </c>
      <c r="P514" s="164"/>
      <c r="Q514" s="72">
        <f t="shared" si="231"/>
        <v>0</v>
      </c>
      <c r="R514" s="67" t="s">
        <v>30</v>
      </c>
      <c r="S514" s="28">
        <v>0</v>
      </c>
      <c r="T514" s="67">
        <f t="shared" si="225"/>
        <v>0</v>
      </c>
      <c r="U514" s="67">
        <f t="shared" si="232"/>
        <v>0</v>
      </c>
      <c r="V514" s="47"/>
      <c r="W514" s="127"/>
      <c r="X514" s="85"/>
      <c r="Y514" s="64"/>
      <c r="Z514" s="81"/>
      <c r="AA514" s="63"/>
      <c r="AB514" s="64"/>
      <c r="AC514" s="81"/>
      <c r="AD514" s="64">
        <f t="shared" si="233"/>
        <v>7</v>
      </c>
      <c r="AE514" s="128">
        <f t="shared" si="230"/>
        <v>-7</v>
      </c>
      <c r="AF514" s="47"/>
      <c r="AG514" s="47"/>
      <c r="AH514" s="66">
        <f t="shared" si="211"/>
        <v>0</v>
      </c>
      <c r="AI514" s="68" t="e">
        <f>#REF!+5</f>
        <v>#REF!</v>
      </c>
      <c r="AJ514" s="47"/>
      <c r="AK514" s="69">
        <f t="shared" si="212"/>
        <v>0</v>
      </c>
      <c r="AL514" s="68">
        <f t="shared" si="228"/>
        <v>60</v>
      </c>
      <c r="AM514" s="47"/>
      <c r="AN514" s="60"/>
      <c r="AO514" s="66"/>
      <c r="AP514" s="66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</row>
    <row r="515" spans="1:54" s="129" customFormat="1" ht="24" customHeight="1">
      <c r="A515" s="47"/>
      <c r="B515" s="71"/>
      <c r="C515" s="60"/>
      <c r="D515" s="48"/>
      <c r="E515" s="141"/>
      <c r="F515" s="148"/>
      <c r="G515" s="139"/>
      <c r="H515" s="134"/>
      <c r="I515" s="134"/>
      <c r="J515" s="47"/>
      <c r="K515" s="47"/>
      <c r="L515" s="140"/>
      <c r="M515" s="140"/>
      <c r="N515" s="148"/>
      <c r="O515" s="48" t="s">
        <v>31</v>
      </c>
      <c r="P515" s="164"/>
      <c r="Q515" s="72">
        <f t="shared" si="231"/>
        <v>0</v>
      </c>
      <c r="R515" s="67" t="s">
        <v>30</v>
      </c>
      <c r="S515" s="28">
        <v>0</v>
      </c>
      <c r="T515" s="67">
        <f t="shared" si="225"/>
        <v>0</v>
      </c>
      <c r="U515" s="67">
        <f t="shared" si="232"/>
        <v>0</v>
      </c>
      <c r="V515" s="47"/>
      <c r="W515" s="127"/>
      <c r="X515" s="85"/>
      <c r="Y515" s="64"/>
      <c r="Z515" s="81"/>
      <c r="AA515" s="63"/>
      <c r="AB515" s="64"/>
      <c r="AC515" s="81"/>
      <c r="AD515" s="64">
        <f t="shared" si="233"/>
        <v>7</v>
      </c>
      <c r="AE515" s="128">
        <f t="shared" si="230"/>
        <v>-7</v>
      </c>
      <c r="AF515" s="47"/>
      <c r="AG515" s="47"/>
      <c r="AH515" s="66">
        <f t="shared" si="211"/>
        <v>0</v>
      </c>
      <c r="AI515" s="68" t="e">
        <f>#REF!+5</f>
        <v>#REF!</v>
      </c>
      <c r="AJ515" s="47"/>
      <c r="AK515" s="69">
        <f t="shared" si="212"/>
        <v>0</v>
      </c>
      <c r="AL515" s="68">
        <f t="shared" si="228"/>
        <v>60</v>
      </c>
      <c r="AM515" s="47"/>
      <c r="AN515" s="60"/>
      <c r="AO515" s="66"/>
      <c r="AP515" s="66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</row>
    <row r="516" spans="1:54" s="129" customFormat="1" ht="24" customHeight="1">
      <c r="A516" s="47"/>
      <c r="B516" s="71"/>
      <c r="C516" s="60"/>
      <c r="D516" s="48"/>
      <c r="E516" s="141"/>
      <c r="F516" s="148"/>
      <c r="G516" s="139"/>
      <c r="H516" s="134"/>
      <c r="I516" s="134"/>
      <c r="J516" s="47"/>
      <c r="K516" s="47"/>
      <c r="L516" s="140"/>
      <c r="M516" s="140"/>
      <c r="N516" s="148"/>
      <c r="O516" s="48" t="s">
        <v>31</v>
      </c>
      <c r="P516" s="164"/>
      <c r="Q516" s="72">
        <f t="shared" si="231"/>
        <v>0</v>
      </c>
      <c r="R516" s="67" t="s">
        <v>30</v>
      </c>
      <c r="S516" s="28">
        <v>0</v>
      </c>
      <c r="T516" s="67">
        <f t="shared" si="225"/>
        <v>0</v>
      </c>
      <c r="U516" s="67">
        <f t="shared" si="232"/>
        <v>0</v>
      </c>
      <c r="V516" s="47"/>
      <c r="W516" s="127"/>
      <c r="X516" s="85"/>
      <c r="Y516" s="64"/>
      <c r="Z516" s="81"/>
      <c r="AA516" s="63"/>
      <c r="AB516" s="64"/>
      <c r="AC516" s="81"/>
      <c r="AD516" s="64">
        <f t="shared" si="233"/>
        <v>7</v>
      </c>
      <c r="AE516" s="128">
        <f t="shared" si="230"/>
        <v>-7</v>
      </c>
      <c r="AF516" s="47"/>
      <c r="AG516" s="47"/>
      <c r="AH516" s="66">
        <f t="shared" si="211"/>
        <v>0</v>
      </c>
      <c r="AI516" s="68" t="e">
        <f>#REF!+5</f>
        <v>#REF!</v>
      </c>
      <c r="AJ516" s="47"/>
      <c r="AK516" s="69">
        <f t="shared" si="212"/>
        <v>0</v>
      </c>
      <c r="AL516" s="68">
        <f t="shared" si="228"/>
        <v>60</v>
      </c>
      <c r="AM516" s="47"/>
      <c r="AN516" s="60"/>
      <c r="AO516" s="66"/>
      <c r="AP516" s="66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</row>
    <row r="517" spans="1:54" s="129" customFormat="1" ht="24" customHeight="1">
      <c r="A517" s="47"/>
      <c r="B517" s="71"/>
      <c r="C517" s="60"/>
      <c r="D517" s="48"/>
      <c r="E517" s="141"/>
      <c r="F517" s="148"/>
      <c r="G517" s="139"/>
      <c r="H517" s="134"/>
      <c r="I517" s="134"/>
      <c r="J517" s="47"/>
      <c r="K517" s="47"/>
      <c r="L517" s="140"/>
      <c r="M517" s="140"/>
      <c r="N517" s="148"/>
      <c r="O517" s="48" t="s">
        <v>31</v>
      </c>
      <c r="P517" s="164"/>
      <c r="Q517" s="72">
        <f t="shared" si="231"/>
        <v>0</v>
      </c>
      <c r="R517" s="67" t="s">
        <v>30</v>
      </c>
      <c r="S517" s="28">
        <v>0</v>
      </c>
      <c r="T517" s="67">
        <f t="shared" si="225"/>
        <v>0</v>
      </c>
      <c r="U517" s="67">
        <f t="shared" si="232"/>
        <v>0</v>
      </c>
      <c r="V517" s="47"/>
      <c r="W517" s="127"/>
      <c r="X517" s="85"/>
      <c r="Y517" s="64"/>
      <c r="Z517" s="81"/>
      <c r="AA517" s="63"/>
      <c r="AB517" s="64"/>
      <c r="AC517" s="81"/>
      <c r="AD517" s="64">
        <f t="shared" si="233"/>
        <v>7</v>
      </c>
      <c r="AE517" s="128">
        <f t="shared" si="230"/>
        <v>-7</v>
      </c>
      <c r="AF517" s="47"/>
      <c r="AG517" s="47"/>
      <c r="AH517" s="66">
        <f t="shared" si="211"/>
        <v>0</v>
      </c>
      <c r="AI517" s="68" t="e">
        <f>#REF!+5</f>
        <v>#REF!</v>
      </c>
      <c r="AJ517" s="47"/>
      <c r="AK517" s="69">
        <f t="shared" si="212"/>
        <v>0</v>
      </c>
      <c r="AL517" s="68">
        <f t="shared" si="228"/>
        <v>60</v>
      </c>
      <c r="AM517" s="47"/>
      <c r="AN517" s="60"/>
      <c r="AO517" s="66"/>
      <c r="AP517" s="66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</row>
    <row r="518" spans="1:54" s="129" customFormat="1" ht="24" customHeight="1">
      <c r="A518" s="47"/>
      <c r="B518" s="71"/>
      <c r="C518" s="60"/>
      <c r="D518" s="48"/>
      <c r="E518" s="141"/>
      <c r="F518" s="148"/>
      <c r="G518" s="139"/>
      <c r="H518" s="134"/>
      <c r="I518" s="134"/>
      <c r="J518" s="47"/>
      <c r="K518" s="47"/>
      <c r="L518" s="140"/>
      <c r="M518" s="140"/>
      <c r="N518" s="148"/>
      <c r="O518" s="48" t="s">
        <v>31</v>
      </c>
      <c r="P518" s="164"/>
      <c r="Q518" s="72">
        <f t="shared" si="231"/>
        <v>0</v>
      </c>
      <c r="R518" s="67" t="s">
        <v>30</v>
      </c>
      <c r="S518" s="28">
        <v>0</v>
      </c>
      <c r="T518" s="67">
        <f t="shared" si="225"/>
        <v>0</v>
      </c>
      <c r="U518" s="67">
        <f t="shared" si="232"/>
        <v>0</v>
      </c>
      <c r="V518" s="47"/>
      <c r="W518" s="127"/>
      <c r="X518" s="85"/>
      <c r="Y518" s="64"/>
      <c r="Z518" s="81"/>
      <c r="AA518" s="63"/>
      <c r="AB518" s="64"/>
      <c r="AC518" s="81"/>
      <c r="AD518" s="64">
        <f t="shared" si="233"/>
        <v>7</v>
      </c>
      <c r="AE518" s="128">
        <f t="shared" si="230"/>
        <v>-7</v>
      </c>
      <c r="AF518" s="47"/>
      <c r="AG518" s="47"/>
      <c r="AH518" s="66">
        <f t="shared" si="211"/>
        <v>0</v>
      </c>
      <c r="AI518" s="68" t="e">
        <f>#REF!+5</f>
        <v>#REF!</v>
      </c>
      <c r="AJ518" s="47"/>
      <c r="AK518" s="69">
        <f t="shared" si="212"/>
        <v>0</v>
      </c>
      <c r="AL518" s="68">
        <f t="shared" si="228"/>
        <v>60</v>
      </c>
      <c r="AM518" s="47"/>
      <c r="AN518" s="60"/>
      <c r="AO518" s="66"/>
      <c r="AP518" s="66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</row>
    <row r="519" spans="1:54" s="129" customFormat="1" ht="24" customHeight="1">
      <c r="A519" s="47"/>
      <c r="B519" s="71"/>
      <c r="C519" s="60"/>
      <c r="D519" s="48"/>
      <c r="E519" s="141"/>
      <c r="F519" s="148"/>
      <c r="G519" s="139"/>
      <c r="H519" s="134"/>
      <c r="I519" s="134"/>
      <c r="J519" s="47"/>
      <c r="K519" s="47"/>
      <c r="L519" s="140"/>
      <c r="M519" s="140"/>
      <c r="N519" s="148"/>
      <c r="O519" s="48" t="s">
        <v>31</v>
      </c>
      <c r="P519" s="164"/>
      <c r="Q519" s="72">
        <f t="shared" si="231"/>
        <v>0</v>
      </c>
      <c r="R519" s="67" t="s">
        <v>30</v>
      </c>
      <c r="S519" s="28">
        <v>0</v>
      </c>
      <c r="T519" s="67">
        <f t="shared" si="225"/>
        <v>0</v>
      </c>
      <c r="U519" s="67">
        <f t="shared" si="232"/>
        <v>0</v>
      </c>
      <c r="V519" s="47"/>
      <c r="W519" s="127"/>
      <c r="X519" s="85"/>
      <c r="Y519" s="64"/>
      <c r="Z519" s="81"/>
      <c r="AA519" s="63"/>
      <c r="AB519" s="64"/>
      <c r="AC519" s="81"/>
      <c r="AD519" s="64">
        <f t="shared" si="233"/>
        <v>7</v>
      </c>
      <c r="AE519" s="128">
        <f t="shared" si="230"/>
        <v>-7</v>
      </c>
      <c r="AF519" s="47"/>
      <c r="AG519" s="47"/>
      <c r="AH519" s="66">
        <f t="shared" si="211"/>
        <v>0</v>
      </c>
      <c r="AI519" s="68" t="e">
        <f>#REF!+5</f>
        <v>#REF!</v>
      </c>
      <c r="AJ519" s="47"/>
      <c r="AK519" s="69">
        <f t="shared" si="212"/>
        <v>0</v>
      </c>
      <c r="AL519" s="68">
        <f t="shared" si="228"/>
        <v>60</v>
      </c>
      <c r="AM519" s="47"/>
      <c r="AN519" s="60"/>
      <c r="AO519" s="66"/>
      <c r="AP519" s="66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</row>
    <row r="520" spans="1:54" s="129" customFormat="1" ht="24" customHeight="1">
      <c r="A520" s="47"/>
      <c r="B520" s="71"/>
      <c r="C520" s="60"/>
      <c r="D520" s="48"/>
      <c r="E520" s="141"/>
      <c r="F520" s="148"/>
      <c r="G520" s="139"/>
      <c r="H520" s="134"/>
      <c r="I520" s="134"/>
      <c r="J520" s="47"/>
      <c r="K520" s="47"/>
      <c r="L520" s="140"/>
      <c r="M520" s="140"/>
      <c r="N520" s="148"/>
      <c r="O520" s="48" t="s">
        <v>31</v>
      </c>
      <c r="P520" s="164"/>
      <c r="Q520" s="72">
        <f t="shared" si="231"/>
        <v>0</v>
      </c>
      <c r="R520" s="67" t="s">
        <v>30</v>
      </c>
      <c r="S520" s="28">
        <v>0</v>
      </c>
      <c r="T520" s="67">
        <f t="shared" si="225"/>
        <v>0</v>
      </c>
      <c r="U520" s="67">
        <f t="shared" si="232"/>
        <v>0</v>
      </c>
      <c r="V520" s="47"/>
      <c r="W520" s="127"/>
      <c r="X520" s="85"/>
      <c r="Y520" s="64"/>
      <c r="Z520" s="81"/>
      <c r="AA520" s="63"/>
      <c r="AB520" s="64"/>
      <c r="AC520" s="81"/>
      <c r="AD520" s="64">
        <f t="shared" si="233"/>
        <v>7</v>
      </c>
      <c r="AE520" s="128">
        <f t="shared" si="230"/>
        <v>-7</v>
      </c>
      <c r="AF520" s="47"/>
      <c r="AG520" s="47"/>
      <c r="AH520" s="66">
        <f t="shared" si="211"/>
        <v>0</v>
      </c>
      <c r="AI520" s="68" t="e">
        <f>#REF!+5</f>
        <v>#REF!</v>
      </c>
      <c r="AJ520" s="47"/>
      <c r="AK520" s="69">
        <f t="shared" si="212"/>
        <v>0</v>
      </c>
      <c r="AL520" s="68">
        <f t="shared" si="228"/>
        <v>60</v>
      </c>
      <c r="AM520" s="47"/>
      <c r="AN520" s="60"/>
      <c r="AO520" s="66"/>
      <c r="AP520" s="66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</row>
    <row r="521" spans="1:54" s="129" customFormat="1" ht="24" customHeight="1">
      <c r="A521" s="47"/>
      <c r="B521" s="71"/>
      <c r="C521" s="60"/>
      <c r="D521" s="48"/>
      <c r="E521" s="141"/>
      <c r="F521" s="148"/>
      <c r="G521" s="139"/>
      <c r="H521" s="134"/>
      <c r="I521" s="134"/>
      <c r="J521" s="47"/>
      <c r="K521" s="47"/>
      <c r="L521" s="140"/>
      <c r="M521" s="140"/>
      <c r="N521" s="148"/>
      <c r="O521" s="48" t="s">
        <v>31</v>
      </c>
      <c r="P521" s="164"/>
      <c r="Q521" s="72">
        <f t="shared" si="231"/>
        <v>0</v>
      </c>
      <c r="R521" s="67" t="s">
        <v>30</v>
      </c>
      <c r="S521" s="28">
        <v>0</v>
      </c>
      <c r="T521" s="67">
        <f t="shared" si="225"/>
        <v>0</v>
      </c>
      <c r="U521" s="67">
        <f t="shared" si="232"/>
        <v>0</v>
      </c>
      <c r="V521" s="47"/>
      <c r="W521" s="127"/>
      <c r="X521" s="85"/>
      <c r="Y521" s="64"/>
      <c r="Z521" s="81"/>
      <c r="AA521" s="63"/>
      <c r="AB521" s="64"/>
      <c r="AC521" s="81"/>
      <c r="AD521" s="64">
        <f t="shared" si="233"/>
        <v>7</v>
      </c>
      <c r="AE521" s="128">
        <f t="shared" si="230"/>
        <v>-7</v>
      </c>
      <c r="AF521" s="47"/>
      <c r="AG521" s="47"/>
      <c r="AH521" s="66">
        <f t="shared" si="211"/>
        <v>0</v>
      </c>
      <c r="AI521" s="68" t="e">
        <f>#REF!+5</f>
        <v>#REF!</v>
      </c>
      <c r="AJ521" s="47"/>
      <c r="AK521" s="69">
        <f t="shared" si="212"/>
        <v>0</v>
      </c>
      <c r="AL521" s="68">
        <f t="shared" si="228"/>
        <v>60</v>
      </c>
      <c r="AM521" s="47"/>
      <c r="AN521" s="60"/>
      <c r="AO521" s="66"/>
      <c r="AP521" s="66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</row>
    <row r="522" spans="1:54" s="129" customFormat="1" ht="24" customHeight="1">
      <c r="A522" s="47"/>
      <c r="B522" s="71"/>
      <c r="C522" s="71"/>
      <c r="D522" s="48"/>
      <c r="E522" s="141"/>
      <c r="F522" s="130"/>
      <c r="G522" s="71"/>
      <c r="H522" s="134"/>
      <c r="I522" s="137"/>
      <c r="J522" s="47"/>
      <c r="K522" s="47"/>
      <c r="L522" s="76"/>
      <c r="M522" s="76"/>
      <c r="N522" s="66"/>
      <c r="O522" s="48" t="s">
        <v>31</v>
      </c>
      <c r="P522" s="72"/>
      <c r="Q522" s="72">
        <f t="shared" si="231"/>
        <v>0</v>
      </c>
      <c r="R522" s="67" t="s">
        <v>30</v>
      </c>
      <c r="S522" s="28">
        <v>0</v>
      </c>
      <c r="T522" s="67">
        <f t="shared" si="225"/>
        <v>0</v>
      </c>
      <c r="U522" s="67">
        <f t="shared" si="232"/>
        <v>0</v>
      </c>
      <c r="V522" s="47"/>
      <c r="W522" s="127"/>
      <c r="X522" s="85"/>
      <c r="Y522" s="64"/>
      <c r="Z522" s="81"/>
      <c r="AA522" s="63"/>
      <c r="AB522" s="64"/>
      <c r="AC522" s="81"/>
      <c r="AD522" s="64"/>
      <c r="AE522" s="128">
        <f t="shared" si="230"/>
        <v>0</v>
      </c>
      <c r="AF522" s="47"/>
      <c r="AG522" s="47"/>
      <c r="AH522" s="66">
        <f t="shared" si="211"/>
        <v>0</v>
      </c>
      <c r="AI522" s="68" t="e">
        <f>#REF!+5</f>
        <v>#REF!</v>
      </c>
      <c r="AJ522" s="47"/>
      <c r="AK522" s="69">
        <f t="shared" si="212"/>
        <v>0</v>
      </c>
      <c r="AL522" s="68">
        <f t="shared" si="228"/>
        <v>60</v>
      </c>
      <c r="AM522" s="47"/>
      <c r="AN522" s="60"/>
      <c r="AO522" s="66"/>
      <c r="AP522" s="66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</row>
    <row r="523" spans="1:54" s="129" customFormat="1" ht="24" customHeight="1">
      <c r="A523" s="47"/>
      <c r="B523" s="71"/>
      <c r="C523" s="60"/>
      <c r="D523" s="48"/>
      <c r="E523" s="124"/>
      <c r="F523" s="118"/>
      <c r="G523" s="136"/>
      <c r="H523" s="134"/>
      <c r="I523" s="133"/>
      <c r="J523" s="47"/>
      <c r="K523" s="47"/>
      <c r="L523" s="131"/>
      <c r="M523" s="131"/>
      <c r="N523" s="66"/>
      <c r="O523" s="48" t="s">
        <v>35</v>
      </c>
      <c r="P523" s="72"/>
      <c r="Q523" s="72">
        <f t="shared" si="231"/>
        <v>0</v>
      </c>
      <c r="R523" s="72" t="s">
        <v>34</v>
      </c>
      <c r="S523" s="28">
        <v>0</v>
      </c>
      <c r="T523" s="67">
        <f>M523*S523</f>
        <v>0</v>
      </c>
      <c r="U523" s="67">
        <f t="shared" si="232"/>
        <v>0</v>
      </c>
      <c r="V523" s="47"/>
      <c r="W523" s="127"/>
      <c r="X523" s="118"/>
      <c r="Y523" s="61"/>
      <c r="Z523" s="62"/>
      <c r="AA523" s="63"/>
      <c r="AB523" s="61"/>
      <c r="AC523" s="64"/>
      <c r="AD523" s="64">
        <f>Y523+7</f>
        <v>7</v>
      </c>
      <c r="AE523" s="128">
        <f t="shared" si="230"/>
        <v>-7</v>
      </c>
      <c r="AF523" s="47"/>
      <c r="AG523" s="47"/>
      <c r="AH523" s="66">
        <f t="shared" si="211"/>
        <v>0</v>
      </c>
      <c r="AI523" s="68" t="e">
        <f>#REF!+5</f>
        <v>#REF!</v>
      </c>
      <c r="AJ523" s="47"/>
      <c r="AK523" s="69">
        <f t="shared" si="212"/>
        <v>0</v>
      </c>
      <c r="AL523" s="68">
        <f>Y523+90</f>
        <v>90</v>
      </c>
      <c r="AM523" s="47"/>
      <c r="AN523" s="66"/>
      <c r="AO523" s="66"/>
      <c r="AP523" s="66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</row>
    <row r="524" spans="1:54" s="129" customFormat="1" ht="24" customHeight="1">
      <c r="A524" s="47"/>
      <c r="B524" s="71"/>
      <c r="C524" s="71"/>
      <c r="D524" s="48"/>
      <c r="E524" s="71"/>
      <c r="F524" s="130"/>
      <c r="G524" s="71"/>
      <c r="H524" s="134"/>
      <c r="I524" s="137"/>
      <c r="J524" s="47"/>
      <c r="K524" s="47"/>
      <c r="L524" s="76"/>
      <c r="M524" s="76"/>
      <c r="N524" s="66"/>
      <c r="O524" s="48"/>
      <c r="P524" s="72"/>
      <c r="Q524" s="72"/>
      <c r="R524" s="67"/>
      <c r="S524" s="72"/>
      <c r="T524" s="67"/>
      <c r="U524" s="67"/>
      <c r="V524" s="47"/>
      <c r="W524" s="127"/>
      <c r="X524" s="85"/>
      <c r="Y524" s="64"/>
      <c r="Z524" s="81"/>
      <c r="AA524" s="63"/>
      <c r="AB524" s="64"/>
      <c r="AC524" s="81"/>
      <c r="AD524" s="64"/>
      <c r="AE524" s="128">
        <f t="shared" si="230"/>
        <v>0</v>
      </c>
      <c r="AF524" s="47"/>
      <c r="AG524" s="47"/>
      <c r="AH524" s="66"/>
      <c r="AI524" s="68"/>
      <c r="AJ524" s="47"/>
      <c r="AK524" s="69"/>
      <c r="AL524" s="68"/>
      <c r="AM524" s="47"/>
      <c r="AN524" s="66"/>
      <c r="AO524" s="66"/>
      <c r="AP524" s="66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</row>
    <row r="525" spans="1:54" s="129" customFormat="1" ht="24" customHeight="1">
      <c r="A525" s="47"/>
      <c r="B525" s="71"/>
      <c r="C525" s="71"/>
      <c r="D525" s="48"/>
      <c r="E525" s="71"/>
      <c r="F525" s="130"/>
      <c r="G525" s="71"/>
      <c r="H525" s="134"/>
      <c r="I525" s="137"/>
      <c r="J525" s="47"/>
      <c r="K525" s="47"/>
      <c r="L525" s="76"/>
      <c r="M525" s="76"/>
      <c r="N525" s="66"/>
      <c r="O525" s="48"/>
      <c r="P525" s="72"/>
      <c r="Q525" s="72"/>
      <c r="R525" s="67"/>
      <c r="S525" s="72"/>
      <c r="T525" s="67"/>
      <c r="U525" s="67"/>
      <c r="V525" s="47"/>
      <c r="W525" s="127"/>
      <c r="X525" s="85"/>
      <c r="Y525" s="64"/>
      <c r="Z525" s="81"/>
      <c r="AA525" s="63"/>
      <c r="AB525" s="64"/>
      <c r="AC525" s="81"/>
      <c r="AD525" s="64"/>
      <c r="AE525" s="128">
        <f t="shared" si="230"/>
        <v>0</v>
      </c>
      <c r="AF525" s="47"/>
      <c r="AG525" s="47"/>
      <c r="AH525" s="66"/>
      <c r="AI525" s="68"/>
      <c r="AJ525" s="47"/>
      <c r="AK525" s="69"/>
      <c r="AL525" s="68"/>
      <c r="AM525" s="47"/>
      <c r="AN525" s="66"/>
      <c r="AO525" s="66"/>
      <c r="AP525" s="66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</row>
    <row r="526" spans="1:54" s="129" customFormat="1" ht="24" customHeight="1">
      <c r="A526" s="47"/>
      <c r="B526" s="71"/>
      <c r="C526" s="71"/>
      <c r="D526" s="48"/>
      <c r="E526" s="71"/>
      <c r="F526" s="130"/>
      <c r="G526" s="71"/>
      <c r="H526" s="134"/>
      <c r="I526" s="137"/>
      <c r="J526" s="47"/>
      <c r="K526" s="47"/>
      <c r="L526" s="76"/>
      <c r="M526" s="76"/>
      <c r="N526" s="66"/>
      <c r="O526" s="48"/>
      <c r="P526" s="72"/>
      <c r="Q526" s="72"/>
      <c r="R526" s="67"/>
      <c r="S526" s="72"/>
      <c r="T526" s="67"/>
      <c r="U526" s="67"/>
      <c r="V526" s="47"/>
      <c r="W526" s="127"/>
      <c r="X526" s="85"/>
      <c r="Y526" s="64"/>
      <c r="Z526" s="81"/>
      <c r="AA526" s="63"/>
      <c r="AB526" s="64"/>
      <c r="AC526" s="81"/>
      <c r="AD526" s="64"/>
      <c r="AE526" s="128">
        <f t="shared" si="230"/>
        <v>0</v>
      </c>
      <c r="AF526" s="47"/>
      <c r="AG526" s="47"/>
      <c r="AH526" s="66"/>
      <c r="AI526" s="68"/>
      <c r="AJ526" s="47"/>
      <c r="AK526" s="69"/>
      <c r="AL526" s="68"/>
      <c r="AM526" s="47"/>
      <c r="AN526" s="66"/>
      <c r="AO526" s="66"/>
      <c r="AP526" s="66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</row>
    <row r="527" spans="1:54" s="42" customFormat="1" ht="24" customHeight="1">
      <c r="A527" s="20"/>
      <c r="B527" s="26"/>
      <c r="C527" s="26"/>
      <c r="D527" s="22"/>
      <c r="E527" s="26"/>
      <c r="F527" s="57"/>
      <c r="G527" s="26"/>
      <c r="H527" s="117"/>
      <c r="I527" s="116"/>
      <c r="J527" s="20"/>
      <c r="K527" s="20"/>
      <c r="L527" s="27"/>
      <c r="M527" s="27"/>
      <c r="N527" s="51"/>
      <c r="O527" s="22"/>
      <c r="P527" s="28"/>
      <c r="Q527" s="28"/>
      <c r="R527" s="23"/>
      <c r="S527" s="28"/>
      <c r="T527" s="23"/>
      <c r="U527" s="23"/>
      <c r="V527" s="20"/>
      <c r="W527" s="30"/>
      <c r="X527" s="21"/>
      <c r="Y527" s="32"/>
      <c r="Z527" s="56"/>
      <c r="AA527" s="55"/>
      <c r="AB527" s="32"/>
      <c r="AC527" s="56"/>
      <c r="AD527" s="64"/>
      <c r="AE527" s="128">
        <f t="shared" si="230"/>
        <v>0</v>
      </c>
      <c r="AF527" s="20"/>
      <c r="AG527" s="20"/>
      <c r="AH527" s="51"/>
      <c r="AI527" s="37"/>
      <c r="AJ527" s="20"/>
      <c r="AK527" s="24"/>
      <c r="AL527" s="37"/>
      <c r="AM527" s="20"/>
      <c r="AN527" s="51"/>
      <c r="AO527" s="51"/>
      <c r="AP527" s="51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</row>
    <row r="528" spans="1:54" s="42" customFormat="1" ht="24" customHeight="1">
      <c r="A528" s="20"/>
      <c r="B528" s="26"/>
      <c r="C528" s="26"/>
      <c r="D528" s="22"/>
      <c r="E528" s="26"/>
      <c r="F528" s="57"/>
      <c r="G528" s="26"/>
      <c r="H528" s="117"/>
      <c r="I528" s="116"/>
      <c r="J528" s="20"/>
      <c r="K528" s="20"/>
      <c r="L528" s="27"/>
      <c r="M528" s="27"/>
      <c r="N528" s="51"/>
      <c r="O528" s="22"/>
      <c r="P528" s="28"/>
      <c r="Q528" s="28"/>
      <c r="R528" s="23"/>
      <c r="S528" s="28"/>
      <c r="T528" s="23"/>
      <c r="U528" s="23"/>
      <c r="V528" s="20"/>
      <c r="W528" s="30"/>
      <c r="X528" s="21"/>
      <c r="Y528" s="32"/>
      <c r="Z528" s="56"/>
      <c r="AA528" s="55"/>
      <c r="AB528" s="32"/>
      <c r="AC528" s="56"/>
      <c r="AD528" s="64"/>
      <c r="AE528" s="128">
        <f t="shared" si="230"/>
        <v>0</v>
      </c>
      <c r="AF528" s="20"/>
      <c r="AG528" s="20"/>
      <c r="AH528" s="51"/>
      <c r="AI528" s="37"/>
      <c r="AJ528" s="20"/>
      <c r="AK528" s="24"/>
      <c r="AL528" s="37"/>
      <c r="AM528" s="20"/>
      <c r="AN528" s="51"/>
      <c r="AO528" s="51"/>
      <c r="AP528" s="51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</row>
    <row r="529" spans="1:54 7747:7749" s="42" customFormat="1" ht="24" customHeight="1">
      <c r="A529" s="20"/>
      <c r="B529" s="26"/>
      <c r="C529" s="26"/>
      <c r="D529" s="22"/>
      <c r="E529" s="26"/>
      <c r="F529" s="57"/>
      <c r="G529" s="26"/>
      <c r="H529" s="117"/>
      <c r="I529" s="116"/>
      <c r="J529" s="20"/>
      <c r="K529" s="20"/>
      <c r="L529" s="27"/>
      <c r="M529" s="27"/>
      <c r="N529" s="51"/>
      <c r="O529" s="22"/>
      <c r="P529" s="28"/>
      <c r="Q529" s="28"/>
      <c r="R529" s="23"/>
      <c r="S529" s="28"/>
      <c r="T529" s="23"/>
      <c r="U529" s="23"/>
      <c r="V529" s="20"/>
      <c r="W529" s="30"/>
      <c r="X529" s="21"/>
      <c r="Y529" s="32"/>
      <c r="Z529" s="56"/>
      <c r="AA529" s="55"/>
      <c r="AB529" s="32"/>
      <c r="AC529" s="56"/>
      <c r="AD529" s="64"/>
      <c r="AE529" s="128">
        <f t="shared" si="230"/>
        <v>0</v>
      </c>
      <c r="AF529" s="20"/>
      <c r="AG529" s="20"/>
      <c r="AH529" s="51"/>
      <c r="AI529" s="37"/>
      <c r="AJ529" s="20"/>
      <c r="AK529" s="24"/>
      <c r="AL529" s="37"/>
      <c r="AM529" s="20"/>
      <c r="AN529" s="51"/>
      <c r="AO529" s="51"/>
      <c r="AP529" s="51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</row>
    <row r="530" spans="1:54 7747:7749" s="42" customFormat="1" ht="24" customHeight="1">
      <c r="A530" s="20"/>
      <c r="B530" s="26"/>
      <c r="C530" s="26"/>
      <c r="D530" s="22"/>
      <c r="E530" s="26"/>
      <c r="F530" s="57"/>
      <c r="G530" s="26"/>
      <c r="H530" s="117"/>
      <c r="I530" s="116"/>
      <c r="J530" s="20"/>
      <c r="K530" s="20"/>
      <c r="L530" s="27"/>
      <c r="M530" s="27"/>
      <c r="N530" s="51"/>
      <c r="O530" s="22"/>
      <c r="P530" s="28"/>
      <c r="Q530" s="28"/>
      <c r="R530" s="23"/>
      <c r="S530" s="28"/>
      <c r="T530" s="23"/>
      <c r="U530" s="23"/>
      <c r="V530" s="20"/>
      <c r="W530" s="30"/>
      <c r="X530" s="21"/>
      <c r="Y530" s="32"/>
      <c r="Z530" s="56"/>
      <c r="AA530" s="55"/>
      <c r="AB530" s="32"/>
      <c r="AC530" s="56"/>
      <c r="AD530" s="64"/>
      <c r="AE530" s="128">
        <f t="shared" si="230"/>
        <v>0</v>
      </c>
      <c r="AF530" s="20"/>
      <c r="AG530" s="20"/>
      <c r="AH530" s="51"/>
      <c r="AI530" s="37"/>
      <c r="AJ530" s="20"/>
      <c r="AK530" s="24"/>
      <c r="AL530" s="37"/>
      <c r="AM530" s="20"/>
      <c r="AN530" s="51"/>
      <c r="AO530" s="51"/>
      <c r="AP530" s="51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</row>
    <row r="531" spans="1:54 7747:7749" s="42" customFormat="1" ht="24" customHeight="1" thickBot="1">
      <c r="A531" s="20"/>
      <c r="B531" s="26"/>
      <c r="C531" s="26"/>
      <c r="D531" s="22"/>
      <c r="E531" s="26"/>
      <c r="F531" s="57"/>
      <c r="G531" s="26"/>
      <c r="H531" s="117"/>
      <c r="I531" s="116"/>
      <c r="J531" s="20"/>
      <c r="K531" s="20"/>
      <c r="L531" s="27"/>
      <c r="M531" s="97"/>
      <c r="N531" s="51"/>
      <c r="O531" s="22"/>
      <c r="P531" s="28"/>
      <c r="Q531" s="121"/>
      <c r="R531" s="23"/>
      <c r="S531" s="28"/>
      <c r="T531" s="23"/>
      <c r="U531" s="23"/>
      <c r="V531" s="20"/>
      <c r="W531" s="30"/>
      <c r="X531" s="21"/>
      <c r="Y531" s="32"/>
      <c r="Z531" s="56"/>
      <c r="AA531" s="55"/>
      <c r="AB531" s="32"/>
      <c r="AC531" s="56"/>
      <c r="AD531" s="64"/>
      <c r="AE531" s="128">
        <f t="shared" si="230"/>
        <v>0</v>
      </c>
      <c r="AF531" s="20"/>
      <c r="AG531" s="20"/>
      <c r="AH531" s="51"/>
      <c r="AI531" s="37"/>
      <c r="AJ531" s="20"/>
      <c r="AK531" s="24"/>
      <c r="AL531" s="37"/>
      <c r="AM531" s="20"/>
      <c r="AN531" s="51"/>
      <c r="AO531" s="51"/>
      <c r="AP531" s="51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</row>
    <row r="532" spans="1:54 7747:7749" s="170" customFormat="1" ht="24" customHeight="1" thickBot="1">
      <c r="A532" s="157"/>
      <c r="B532" s="177"/>
      <c r="C532" s="177"/>
      <c r="D532" s="173"/>
      <c r="E532" s="403"/>
      <c r="F532" s="171"/>
      <c r="G532" s="177"/>
      <c r="H532" s="178"/>
      <c r="I532" s="180"/>
      <c r="J532" s="157"/>
      <c r="K532" s="157"/>
      <c r="L532" s="185"/>
      <c r="M532" s="191" t="s">
        <v>63</v>
      </c>
      <c r="N532" s="187"/>
      <c r="O532" s="173"/>
      <c r="P532" s="186"/>
      <c r="Q532" s="312">
        <f>SUBTOTAL(9,Q22:Q531)</f>
        <v>0</v>
      </c>
      <c r="R532" s="188"/>
      <c r="S532" s="174"/>
      <c r="T532" s="402">
        <f>SUBTOTAL(9,T66:T531)</f>
        <v>7.6</v>
      </c>
      <c r="U532" s="159"/>
      <c r="V532" s="157"/>
      <c r="W532" s="179"/>
      <c r="X532" s="162"/>
      <c r="Y532" s="155"/>
      <c r="Z532" s="175"/>
      <c r="AA532" s="156"/>
      <c r="AB532" s="155"/>
      <c r="AC532" s="175"/>
      <c r="AD532" s="155"/>
      <c r="AE532" s="175"/>
      <c r="AF532" s="157"/>
      <c r="AG532" s="157"/>
      <c r="AH532" s="158"/>
      <c r="AI532" s="160"/>
      <c r="AJ532" s="157"/>
      <c r="AK532" s="161"/>
      <c r="AL532" s="160"/>
      <c r="AM532" s="157"/>
      <c r="AN532" s="158"/>
      <c r="AO532" s="158"/>
      <c r="AP532" s="158"/>
      <c r="AQ532" s="173"/>
      <c r="AR532" s="173"/>
      <c r="AS532" s="173"/>
      <c r="AT532" s="173"/>
      <c r="AU532" s="173"/>
      <c r="AV532" s="173"/>
      <c r="AW532" s="173"/>
      <c r="AX532" s="173"/>
      <c r="AY532" s="173"/>
      <c r="AZ532" s="173"/>
      <c r="BA532" s="397"/>
      <c r="BB532" s="173"/>
    </row>
    <row r="533" spans="1:54 7747:7749" s="170" customFormat="1" ht="24" customHeight="1">
      <c r="A533" s="157"/>
      <c r="B533" s="177"/>
      <c r="C533" s="177"/>
      <c r="D533" s="173"/>
      <c r="E533" s="401"/>
      <c r="F533" s="171"/>
      <c r="G533" s="177"/>
      <c r="H533" s="178"/>
      <c r="I533" s="180"/>
      <c r="J533" s="157"/>
      <c r="K533" s="157"/>
      <c r="L533" s="172"/>
      <c r="M533" s="189"/>
      <c r="N533" s="158"/>
      <c r="O533" s="173"/>
      <c r="P533" s="174"/>
      <c r="Q533" s="190"/>
      <c r="R533" s="159"/>
      <c r="S533" s="174"/>
      <c r="T533" s="402">
        <f>T532*18.25/100</f>
        <v>1.3869999999999998</v>
      </c>
      <c r="U533" s="159"/>
      <c r="V533" s="157"/>
      <c r="W533" s="179"/>
      <c r="X533" s="162"/>
      <c r="Y533" s="155"/>
      <c r="Z533" s="175"/>
      <c r="AA533" s="156"/>
      <c r="AB533" s="155"/>
      <c r="AC533" s="175"/>
      <c r="AD533" s="155"/>
      <c r="AE533" s="156"/>
      <c r="AF533" s="157"/>
      <c r="AG533" s="157"/>
      <c r="AH533" s="158"/>
      <c r="AI533" s="160"/>
      <c r="AJ533" s="157"/>
      <c r="AK533" s="161"/>
      <c r="AL533" s="160"/>
      <c r="AM533" s="157"/>
      <c r="AN533" s="158"/>
      <c r="AO533" s="158"/>
      <c r="AP533" s="158"/>
      <c r="AQ533" s="173"/>
      <c r="AR533" s="173"/>
      <c r="AS533" s="173"/>
      <c r="AT533" s="173"/>
      <c r="AU533" s="173"/>
      <c r="AV533" s="173"/>
      <c r="AW533" s="173"/>
      <c r="AX533" s="173"/>
      <c r="AY533" s="173"/>
      <c r="AZ533" s="173"/>
      <c r="BA533" s="173"/>
      <c r="BB533" s="173"/>
    </row>
    <row r="534" spans="1:54 7747:7749" s="170" customFormat="1" ht="24" customHeight="1">
      <c r="A534" s="157"/>
      <c r="B534" s="177"/>
      <c r="C534" s="177"/>
      <c r="D534" s="173"/>
      <c r="E534" s="177"/>
      <c r="F534" s="171"/>
      <c r="G534" s="177"/>
      <c r="H534" s="178"/>
      <c r="I534" s="180"/>
      <c r="J534" s="157"/>
      <c r="K534" s="157"/>
      <c r="L534" s="172"/>
      <c r="M534" s="172"/>
      <c r="N534" s="158"/>
      <c r="O534" s="173"/>
      <c r="P534" s="174"/>
      <c r="Q534" s="174"/>
      <c r="R534" s="159"/>
      <c r="S534" s="174"/>
      <c r="T534" s="159">
        <f>T532-T533</f>
        <v>6.2130000000000001</v>
      </c>
      <c r="U534" s="159"/>
      <c r="V534" s="157"/>
      <c r="W534" s="179"/>
      <c r="X534" s="162"/>
      <c r="Y534" s="155"/>
      <c r="Z534" s="175"/>
      <c r="AA534" s="156"/>
      <c r="AB534" s="155"/>
      <c r="AC534" s="175"/>
      <c r="AD534" s="155"/>
      <c r="AE534" s="156"/>
      <c r="AF534" s="157"/>
      <c r="AG534" s="157"/>
      <c r="AH534" s="158"/>
      <c r="AI534" s="160"/>
      <c r="AJ534" s="157"/>
      <c r="AK534" s="161"/>
      <c r="AL534" s="160"/>
      <c r="AM534" s="157"/>
      <c r="AN534" s="158"/>
      <c r="AO534" s="158"/>
      <c r="AP534" s="158"/>
      <c r="AQ534" s="173"/>
      <c r="AR534" s="173"/>
      <c r="AS534" s="173"/>
      <c r="AT534" s="173"/>
      <c r="AU534" s="173"/>
      <c r="AV534" s="173"/>
      <c r="AW534" s="173"/>
      <c r="AX534" s="173"/>
      <c r="AY534" s="173"/>
      <c r="AZ534" s="173"/>
      <c r="BA534" s="173"/>
      <c r="BB534" s="173"/>
      <c r="KKY534" s="170">
        <v>0</v>
      </c>
      <c r="KKZ534" s="170">
        <v>0</v>
      </c>
      <c r="KLA534" s="170">
        <v>0</v>
      </c>
    </row>
    <row r="535" spans="1:54 7747:7749" ht="18">
      <c r="O535" s="315"/>
      <c r="Q535" s="422"/>
      <c r="X535" s="40"/>
    </row>
    <row r="536" spans="1:54 7747:7749">
      <c r="X536" s="40"/>
    </row>
    <row r="537" spans="1:54 7747:7749">
      <c r="X537" s="40"/>
    </row>
    <row r="538" spans="1:54 7747:7749">
      <c r="X538" s="40"/>
    </row>
    <row r="539" spans="1:54 7747:7749">
      <c r="X539" s="40"/>
    </row>
    <row r="540" spans="1:54 7747:7749">
      <c r="X540" s="40"/>
    </row>
    <row r="541" spans="1:54 7747:7749">
      <c r="X541" s="40"/>
    </row>
    <row r="542" spans="1:54 7747:7749">
      <c r="X542" s="40"/>
    </row>
    <row r="543" spans="1:54 7747:7749">
      <c r="X543" s="40"/>
    </row>
    <row r="544" spans="1:54 7747:7749">
      <c r="X544" s="40"/>
    </row>
    <row r="545" spans="24:24">
      <c r="X545" s="40"/>
    </row>
    <row r="546" spans="24:24">
      <c r="X546" s="40"/>
    </row>
    <row r="547" spans="24:24">
      <c r="X547" s="40"/>
    </row>
    <row r="548" spans="24:24">
      <c r="X548" s="40"/>
    </row>
    <row r="549" spans="24:24">
      <c r="X549" s="40"/>
    </row>
    <row r="550" spans="24:24">
      <c r="X550" s="40"/>
    </row>
    <row r="551" spans="24:24">
      <c r="X551" s="40"/>
    </row>
    <row r="552" spans="24:24">
      <c r="X552" s="40"/>
    </row>
    <row r="553" spans="24:24">
      <c r="X553" s="40"/>
    </row>
    <row r="554" spans="24:24">
      <c r="X554" s="40"/>
    </row>
    <row r="555" spans="24:24">
      <c r="X555" s="40"/>
    </row>
    <row r="556" spans="24:24">
      <c r="X556" s="40"/>
    </row>
    <row r="557" spans="24:24">
      <c r="X557" s="40"/>
    </row>
    <row r="558" spans="24:24">
      <c r="X558" s="40"/>
    </row>
    <row r="559" spans="24:24">
      <c r="X559" s="40"/>
    </row>
    <row r="560" spans="24:24">
      <c r="X560" s="40"/>
    </row>
    <row r="561" spans="17:38">
      <c r="X561" s="40"/>
    </row>
    <row r="562" spans="17:38" s="170" customFormat="1" ht="24" customHeight="1">
      <c r="Q562" s="174">
        <f t="shared" ref="Q562:Q581" si="234">M562*P562</f>
        <v>0</v>
      </c>
      <c r="R562" s="159" t="s">
        <v>30</v>
      </c>
      <c r="S562" s="174">
        <v>0</v>
      </c>
      <c r="T562" s="159">
        <f t="shared" ref="T562:T581" si="235">M562*S562</f>
        <v>0</v>
      </c>
      <c r="U562" s="159">
        <f t="shared" ref="U562:U581" si="236">P562-S562</f>
        <v>0</v>
      </c>
      <c r="V562" s="157"/>
      <c r="W562" s="179"/>
      <c r="X562" s="162"/>
      <c r="Y562" s="155"/>
      <c r="Z562" s="175"/>
      <c r="AA562" s="156"/>
      <c r="AB562" s="155"/>
      <c r="AC562" s="175"/>
      <c r="AD562" s="155">
        <f t="shared" ref="AD562:AD573" si="237">Y562+7</f>
        <v>7</v>
      </c>
      <c r="AE562" s="176">
        <f t="shared" ref="AE562:AE570" si="238">AC562-AD562</f>
        <v>-7</v>
      </c>
      <c r="AF562" s="157"/>
      <c r="AG562" s="157"/>
      <c r="AH562" s="158">
        <f t="shared" ref="AH562:AH593" si="239">L562-M562</f>
        <v>0</v>
      </c>
      <c r="AI562" s="160" t="e">
        <f>#REF!+5</f>
        <v>#REF!</v>
      </c>
      <c r="AJ562" s="157"/>
      <c r="AK562" s="161">
        <f t="shared" ref="AK562:AK609" si="240">Y562-I562</f>
        <v>0</v>
      </c>
      <c r="AL562" s="160">
        <f t="shared" ref="AL562:AL570" si="241">Y562+60</f>
        <v>60</v>
      </c>
    </row>
    <row r="563" spans="17:38" s="173" customFormat="1" ht="24" customHeight="1">
      <c r="Q563" s="174">
        <f t="shared" si="234"/>
        <v>0</v>
      </c>
      <c r="R563" s="159" t="s">
        <v>30</v>
      </c>
      <c r="S563" s="174">
        <v>0</v>
      </c>
      <c r="T563" s="159">
        <f t="shared" si="235"/>
        <v>0</v>
      </c>
      <c r="U563" s="159">
        <f t="shared" si="236"/>
        <v>0</v>
      </c>
      <c r="V563" s="157"/>
      <c r="W563" s="179"/>
      <c r="X563" s="162"/>
      <c r="Y563" s="155"/>
      <c r="Z563" s="175"/>
      <c r="AA563" s="156"/>
      <c r="AB563" s="155"/>
      <c r="AC563" s="175"/>
      <c r="AD563" s="155">
        <f t="shared" si="237"/>
        <v>7</v>
      </c>
      <c r="AE563" s="176">
        <f t="shared" si="238"/>
        <v>-7</v>
      </c>
      <c r="AF563" s="157"/>
      <c r="AG563" s="157"/>
      <c r="AH563" s="158">
        <f t="shared" si="239"/>
        <v>0</v>
      </c>
      <c r="AI563" s="160" t="e">
        <f>#REF!+5</f>
        <v>#REF!</v>
      </c>
      <c r="AJ563" s="157"/>
      <c r="AK563" s="161">
        <f t="shared" si="240"/>
        <v>0</v>
      </c>
      <c r="AL563" s="160">
        <f t="shared" si="241"/>
        <v>60</v>
      </c>
    </row>
    <row r="564" spans="17:38" s="173" customFormat="1" ht="24" customHeight="1">
      <c r="Q564" s="174">
        <f t="shared" si="234"/>
        <v>0</v>
      </c>
      <c r="R564" s="159" t="s">
        <v>30</v>
      </c>
      <c r="S564" s="174">
        <v>0</v>
      </c>
      <c r="T564" s="159">
        <f t="shared" si="235"/>
        <v>0</v>
      </c>
      <c r="U564" s="159">
        <f t="shared" si="236"/>
        <v>0</v>
      </c>
      <c r="V564" s="157"/>
      <c r="W564" s="179"/>
      <c r="X564" s="162"/>
      <c r="Y564" s="155"/>
      <c r="Z564" s="175"/>
      <c r="AA564" s="156"/>
      <c r="AB564" s="155"/>
      <c r="AC564" s="175"/>
      <c r="AD564" s="155">
        <f t="shared" si="237"/>
        <v>7</v>
      </c>
      <c r="AE564" s="176">
        <f t="shared" si="238"/>
        <v>-7</v>
      </c>
      <c r="AF564" s="157"/>
      <c r="AG564" s="157"/>
      <c r="AH564" s="158">
        <f t="shared" si="239"/>
        <v>0</v>
      </c>
      <c r="AI564" s="160" t="e">
        <f>#REF!+5</f>
        <v>#REF!</v>
      </c>
      <c r="AJ564" s="157"/>
      <c r="AK564" s="161">
        <f t="shared" si="240"/>
        <v>0</v>
      </c>
      <c r="AL564" s="160">
        <f t="shared" si="241"/>
        <v>60</v>
      </c>
    </row>
    <row r="565" spans="17:38" s="173" customFormat="1" ht="24" customHeight="1">
      <c r="Q565" s="174">
        <f t="shared" si="234"/>
        <v>0</v>
      </c>
      <c r="R565" s="159" t="s">
        <v>30</v>
      </c>
      <c r="S565" s="174">
        <v>0</v>
      </c>
      <c r="T565" s="159">
        <f t="shared" si="235"/>
        <v>0</v>
      </c>
      <c r="U565" s="159">
        <f t="shared" si="236"/>
        <v>0</v>
      </c>
      <c r="V565" s="157"/>
      <c r="W565" s="179"/>
      <c r="X565" s="162"/>
      <c r="Y565" s="155"/>
      <c r="Z565" s="175"/>
      <c r="AA565" s="156"/>
      <c r="AB565" s="155"/>
      <c r="AC565" s="175"/>
      <c r="AD565" s="155">
        <f t="shared" si="237"/>
        <v>7</v>
      </c>
      <c r="AE565" s="176">
        <f t="shared" si="238"/>
        <v>-7</v>
      </c>
      <c r="AF565" s="157"/>
      <c r="AG565" s="157"/>
      <c r="AH565" s="158">
        <f t="shared" si="239"/>
        <v>0</v>
      </c>
      <c r="AI565" s="160" t="e">
        <f>#REF!+5</f>
        <v>#REF!</v>
      </c>
      <c r="AJ565" s="157"/>
      <c r="AK565" s="161">
        <f t="shared" si="240"/>
        <v>0</v>
      </c>
      <c r="AL565" s="160">
        <f t="shared" si="241"/>
        <v>60</v>
      </c>
    </row>
    <row r="566" spans="17:38" s="173" customFormat="1" ht="24" customHeight="1">
      <c r="Q566" s="174">
        <f t="shared" si="234"/>
        <v>0</v>
      </c>
      <c r="R566" s="159" t="s">
        <v>30</v>
      </c>
      <c r="S566" s="174">
        <v>0</v>
      </c>
      <c r="T566" s="159">
        <f t="shared" si="235"/>
        <v>0</v>
      </c>
      <c r="U566" s="159">
        <f t="shared" si="236"/>
        <v>0</v>
      </c>
      <c r="V566" s="157"/>
      <c r="W566" s="179"/>
      <c r="X566" s="162"/>
      <c r="Y566" s="155"/>
      <c r="Z566" s="175"/>
      <c r="AA566" s="156"/>
      <c r="AB566" s="155"/>
      <c r="AC566" s="175"/>
      <c r="AD566" s="155">
        <f t="shared" si="237"/>
        <v>7</v>
      </c>
      <c r="AE566" s="176">
        <f t="shared" si="238"/>
        <v>-7</v>
      </c>
      <c r="AF566" s="157"/>
      <c r="AG566" s="157"/>
      <c r="AH566" s="158">
        <f t="shared" si="239"/>
        <v>0</v>
      </c>
      <c r="AI566" s="160" t="e">
        <f>#REF!+5</f>
        <v>#REF!</v>
      </c>
      <c r="AJ566" s="157"/>
      <c r="AK566" s="161">
        <f t="shared" si="240"/>
        <v>0</v>
      </c>
      <c r="AL566" s="160">
        <f t="shared" si="241"/>
        <v>60</v>
      </c>
    </row>
    <row r="567" spans="17:38" s="173" customFormat="1" ht="24" customHeight="1">
      <c r="Q567" s="174">
        <f t="shared" si="234"/>
        <v>0</v>
      </c>
      <c r="R567" s="159" t="s">
        <v>30</v>
      </c>
      <c r="S567" s="174">
        <v>0</v>
      </c>
      <c r="T567" s="159">
        <f t="shared" si="235"/>
        <v>0</v>
      </c>
      <c r="U567" s="159">
        <f t="shared" si="236"/>
        <v>0</v>
      </c>
      <c r="V567" s="157"/>
      <c r="W567" s="179"/>
      <c r="X567" s="162"/>
      <c r="Y567" s="155"/>
      <c r="Z567" s="175"/>
      <c r="AA567" s="156"/>
      <c r="AB567" s="155"/>
      <c r="AC567" s="175"/>
      <c r="AD567" s="155">
        <f t="shared" si="237"/>
        <v>7</v>
      </c>
      <c r="AE567" s="176">
        <f t="shared" si="238"/>
        <v>-7</v>
      </c>
      <c r="AF567" s="157"/>
      <c r="AG567" s="157"/>
      <c r="AH567" s="158">
        <f t="shared" si="239"/>
        <v>0</v>
      </c>
      <c r="AI567" s="160" t="e">
        <f>#REF!+5</f>
        <v>#REF!</v>
      </c>
      <c r="AJ567" s="157"/>
      <c r="AK567" s="161">
        <f t="shared" si="240"/>
        <v>0</v>
      </c>
      <c r="AL567" s="160">
        <f t="shared" si="241"/>
        <v>60</v>
      </c>
    </row>
    <row r="568" spans="17:38" s="173" customFormat="1" ht="24" customHeight="1">
      <c r="Q568" s="174">
        <f t="shared" si="234"/>
        <v>0</v>
      </c>
      <c r="R568" s="159" t="s">
        <v>30</v>
      </c>
      <c r="S568" s="174">
        <v>0</v>
      </c>
      <c r="T568" s="159">
        <f t="shared" si="235"/>
        <v>0</v>
      </c>
      <c r="U568" s="159">
        <f t="shared" si="236"/>
        <v>0</v>
      </c>
      <c r="V568" s="157"/>
      <c r="W568" s="179"/>
      <c r="X568" s="162"/>
      <c r="Y568" s="155"/>
      <c r="Z568" s="175"/>
      <c r="AA568" s="156"/>
      <c r="AB568" s="155"/>
      <c r="AC568" s="175"/>
      <c r="AD568" s="155">
        <f t="shared" si="237"/>
        <v>7</v>
      </c>
      <c r="AE568" s="176">
        <f t="shared" si="238"/>
        <v>-7</v>
      </c>
      <c r="AF568" s="157"/>
      <c r="AG568" s="157"/>
      <c r="AH568" s="158">
        <f t="shared" si="239"/>
        <v>0</v>
      </c>
      <c r="AI568" s="160" t="e">
        <f>#REF!+5</f>
        <v>#REF!</v>
      </c>
      <c r="AJ568" s="157"/>
      <c r="AK568" s="161">
        <f t="shared" si="240"/>
        <v>0</v>
      </c>
      <c r="AL568" s="160">
        <f t="shared" si="241"/>
        <v>60</v>
      </c>
    </row>
    <row r="569" spans="17:38" s="173" customFormat="1" ht="24" customHeight="1">
      <c r="Q569" s="174">
        <f t="shared" si="234"/>
        <v>0</v>
      </c>
      <c r="R569" s="159" t="s">
        <v>30</v>
      </c>
      <c r="S569" s="174">
        <v>0</v>
      </c>
      <c r="T569" s="159">
        <f t="shared" si="235"/>
        <v>0</v>
      </c>
      <c r="U569" s="159">
        <f t="shared" si="236"/>
        <v>0</v>
      </c>
      <c r="V569" s="157"/>
      <c r="W569" s="179"/>
      <c r="X569" s="162"/>
      <c r="Y569" s="155"/>
      <c r="Z569" s="175"/>
      <c r="AA569" s="156"/>
      <c r="AB569" s="155"/>
      <c r="AC569" s="175"/>
      <c r="AD569" s="155">
        <f t="shared" si="237"/>
        <v>7</v>
      </c>
      <c r="AE569" s="176">
        <f t="shared" si="238"/>
        <v>-7</v>
      </c>
      <c r="AF569" s="157"/>
      <c r="AG569" s="157"/>
      <c r="AH569" s="158">
        <f t="shared" si="239"/>
        <v>0</v>
      </c>
      <c r="AI569" s="160" t="e">
        <f>#REF!+5</f>
        <v>#REF!</v>
      </c>
      <c r="AJ569" s="157"/>
      <c r="AK569" s="161">
        <f t="shared" si="240"/>
        <v>0</v>
      </c>
      <c r="AL569" s="160">
        <f t="shared" si="241"/>
        <v>60</v>
      </c>
    </row>
    <row r="570" spans="17:38" s="173" customFormat="1" ht="24" customHeight="1">
      <c r="Q570" s="174">
        <f t="shared" si="234"/>
        <v>0</v>
      </c>
      <c r="R570" s="159" t="s">
        <v>30</v>
      </c>
      <c r="S570" s="174">
        <v>0</v>
      </c>
      <c r="T570" s="159">
        <f t="shared" si="235"/>
        <v>0</v>
      </c>
      <c r="U570" s="159">
        <f t="shared" si="236"/>
        <v>0</v>
      </c>
      <c r="V570" s="157"/>
      <c r="W570" s="179"/>
      <c r="X570" s="162"/>
      <c r="Y570" s="155"/>
      <c r="Z570" s="175"/>
      <c r="AA570" s="156"/>
      <c r="AB570" s="155"/>
      <c r="AC570" s="175"/>
      <c r="AD570" s="155">
        <f t="shared" si="237"/>
        <v>7</v>
      </c>
      <c r="AE570" s="176">
        <f t="shared" si="238"/>
        <v>-7</v>
      </c>
      <c r="AF570" s="157"/>
      <c r="AG570" s="157"/>
      <c r="AH570" s="158">
        <f t="shared" si="239"/>
        <v>0</v>
      </c>
      <c r="AI570" s="160" t="e">
        <f>#REF!+5</f>
        <v>#REF!</v>
      </c>
      <c r="AJ570" s="157"/>
      <c r="AK570" s="161">
        <f t="shared" si="240"/>
        <v>0</v>
      </c>
      <c r="AL570" s="160">
        <f t="shared" si="241"/>
        <v>60</v>
      </c>
    </row>
    <row r="571" spans="17:38" s="170" customFormat="1" ht="24" customHeight="1">
      <c r="Q571" s="174">
        <f t="shared" si="234"/>
        <v>0</v>
      </c>
      <c r="R571" s="174" t="s">
        <v>30</v>
      </c>
      <c r="S571" s="174">
        <v>0</v>
      </c>
      <c r="T571" s="159">
        <f t="shared" si="235"/>
        <v>0</v>
      </c>
      <c r="U571" s="159">
        <f t="shared" si="236"/>
        <v>0</v>
      </c>
      <c r="V571" s="157"/>
      <c r="W571" s="179"/>
      <c r="X571" s="162"/>
      <c r="Y571" s="155"/>
      <c r="Z571" s="175"/>
      <c r="AA571" s="156"/>
      <c r="AB571" s="155"/>
      <c r="AC571" s="175"/>
      <c r="AD571" s="155">
        <f t="shared" si="237"/>
        <v>7</v>
      </c>
      <c r="AE571" s="176"/>
      <c r="AF571" s="157"/>
      <c r="AG571" s="157"/>
      <c r="AH571" s="158">
        <f t="shared" si="239"/>
        <v>0</v>
      </c>
      <c r="AI571" s="160" t="e">
        <f>#REF!+5</f>
        <v>#REF!</v>
      </c>
      <c r="AJ571" s="157"/>
      <c r="AK571" s="161">
        <f t="shared" si="240"/>
        <v>0</v>
      </c>
      <c r="AL571" s="160">
        <f t="shared" ref="AL571:AL578" si="242">Y571+90</f>
        <v>90</v>
      </c>
    </row>
    <row r="572" spans="17:38" s="170" customFormat="1" ht="24" customHeight="1">
      <c r="Q572" s="174">
        <f t="shared" si="234"/>
        <v>0</v>
      </c>
      <c r="R572" s="174" t="s">
        <v>30</v>
      </c>
      <c r="S572" s="174">
        <v>0</v>
      </c>
      <c r="T572" s="159">
        <f t="shared" si="235"/>
        <v>0</v>
      </c>
      <c r="U572" s="159">
        <f t="shared" si="236"/>
        <v>0</v>
      </c>
      <c r="V572" s="157"/>
      <c r="W572" s="179"/>
      <c r="X572" s="162"/>
      <c r="Y572" s="181"/>
      <c r="Z572" s="181"/>
      <c r="AA572" s="156"/>
      <c r="AB572" s="156"/>
      <c r="AC572" s="175"/>
      <c r="AD572" s="155">
        <f t="shared" si="237"/>
        <v>7</v>
      </c>
      <c r="AE572" s="176"/>
      <c r="AF572" s="157"/>
      <c r="AG572" s="157"/>
      <c r="AH572" s="158">
        <f t="shared" si="239"/>
        <v>0</v>
      </c>
      <c r="AI572" s="160" t="e">
        <f>#REF!+5</f>
        <v>#REF!</v>
      </c>
      <c r="AJ572" s="157"/>
      <c r="AK572" s="161">
        <f t="shared" si="240"/>
        <v>0</v>
      </c>
      <c r="AL572" s="160">
        <f t="shared" si="242"/>
        <v>90</v>
      </c>
    </row>
    <row r="573" spans="17:38" s="170" customFormat="1" ht="24" customHeight="1">
      <c r="Q573" s="174">
        <f t="shared" si="234"/>
        <v>0</v>
      </c>
      <c r="R573" s="174" t="s">
        <v>30</v>
      </c>
      <c r="S573" s="174">
        <v>0</v>
      </c>
      <c r="T573" s="159">
        <f t="shared" si="235"/>
        <v>0</v>
      </c>
      <c r="U573" s="159">
        <f t="shared" si="236"/>
        <v>0</v>
      </c>
      <c r="V573" s="157"/>
      <c r="W573" s="179"/>
      <c r="X573" s="162"/>
      <c r="Y573" s="155"/>
      <c r="Z573" s="155"/>
      <c r="AA573" s="156"/>
      <c r="AB573" s="156"/>
      <c r="AC573" s="155"/>
      <c r="AD573" s="155">
        <f t="shared" si="237"/>
        <v>7</v>
      </c>
      <c r="AE573" s="176"/>
      <c r="AF573" s="157"/>
      <c r="AG573" s="157"/>
      <c r="AH573" s="158">
        <f t="shared" si="239"/>
        <v>0</v>
      </c>
      <c r="AI573" s="160" t="e">
        <f>#REF!+5</f>
        <v>#REF!</v>
      </c>
      <c r="AJ573" s="157"/>
      <c r="AK573" s="161">
        <f t="shared" si="240"/>
        <v>0</v>
      </c>
      <c r="AL573" s="160">
        <f t="shared" si="242"/>
        <v>90</v>
      </c>
    </row>
    <row r="574" spans="17:38" s="173" customFormat="1" ht="24" customHeight="1">
      <c r="Q574" s="174">
        <f t="shared" si="234"/>
        <v>0</v>
      </c>
      <c r="R574" s="159" t="s">
        <v>30</v>
      </c>
      <c r="S574" s="174">
        <v>0</v>
      </c>
      <c r="T574" s="159">
        <f t="shared" si="235"/>
        <v>0</v>
      </c>
      <c r="U574" s="159">
        <f t="shared" si="236"/>
        <v>0</v>
      </c>
      <c r="V574" s="157"/>
      <c r="W574" s="179"/>
      <c r="X574" s="162"/>
      <c r="Y574" s="155"/>
      <c r="Z574" s="155"/>
      <c r="AA574" s="156"/>
      <c r="AB574" s="155"/>
      <c r="AC574" s="155"/>
      <c r="AD574" s="155"/>
      <c r="AE574" s="176">
        <f t="shared" ref="AE574:AE579" si="243">AC574-AD574</f>
        <v>0</v>
      </c>
      <c r="AF574" s="157"/>
      <c r="AG574" s="157"/>
      <c r="AH574" s="158">
        <f t="shared" si="239"/>
        <v>0</v>
      </c>
      <c r="AI574" s="160" t="e">
        <f>#REF!+5</f>
        <v>#REF!</v>
      </c>
      <c r="AJ574" s="157"/>
      <c r="AK574" s="161">
        <f t="shared" si="240"/>
        <v>0</v>
      </c>
      <c r="AL574" s="160">
        <f t="shared" si="242"/>
        <v>90</v>
      </c>
    </row>
    <row r="575" spans="17:38" s="173" customFormat="1" ht="24" customHeight="1">
      <c r="Q575" s="174">
        <f t="shared" si="234"/>
        <v>0</v>
      </c>
      <c r="R575" s="159" t="s">
        <v>30</v>
      </c>
      <c r="S575" s="174">
        <v>0</v>
      </c>
      <c r="T575" s="159">
        <f t="shared" si="235"/>
        <v>0</v>
      </c>
      <c r="U575" s="159">
        <f t="shared" si="236"/>
        <v>0</v>
      </c>
      <c r="V575" s="157"/>
      <c r="W575" s="179"/>
      <c r="X575" s="162"/>
      <c r="Y575" s="155"/>
      <c r="Z575" s="155"/>
      <c r="AA575" s="156"/>
      <c r="AB575" s="155"/>
      <c r="AC575" s="155"/>
      <c r="AD575" s="155"/>
      <c r="AE575" s="176">
        <f t="shared" si="243"/>
        <v>0</v>
      </c>
      <c r="AF575" s="157"/>
      <c r="AG575" s="157"/>
      <c r="AH575" s="158">
        <f t="shared" si="239"/>
        <v>0</v>
      </c>
      <c r="AI575" s="160" t="e">
        <f>#REF!+5</f>
        <v>#REF!</v>
      </c>
      <c r="AJ575" s="157"/>
      <c r="AK575" s="161">
        <f t="shared" si="240"/>
        <v>0</v>
      </c>
      <c r="AL575" s="160">
        <f t="shared" si="242"/>
        <v>90</v>
      </c>
    </row>
    <row r="576" spans="17:38" s="173" customFormat="1" ht="24" customHeight="1">
      <c r="Q576" s="174">
        <f t="shared" si="234"/>
        <v>0</v>
      </c>
      <c r="R576" s="159" t="s">
        <v>30</v>
      </c>
      <c r="S576" s="174">
        <v>0</v>
      </c>
      <c r="T576" s="159">
        <f t="shared" si="235"/>
        <v>0</v>
      </c>
      <c r="U576" s="159">
        <f t="shared" si="236"/>
        <v>0</v>
      </c>
      <c r="V576" s="157"/>
      <c r="W576" s="179"/>
      <c r="X576" s="162"/>
      <c r="Y576" s="155"/>
      <c r="Z576" s="155"/>
      <c r="AA576" s="156"/>
      <c r="AB576" s="155"/>
      <c r="AC576" s="155"/>
      <c r="AD576" s="155"/>
      <c r="AE576" s="176">
        <f t="shared" si="243"/>
        <v>0</v>
      </c>
      <c r="AF576" s="157"/>
      <c r="AG576" s="157"/>
      <c r="AH576" s="158">
        <f t="shared" si="239"/>
        <v>0</v>
      </c>
      <c r="AI576" s="160" t="e">
        <f>#REF!+5</f>
        <v>#REF!</v>
      </c>
      <c r="AJ576" s="157"/>
      <c r="AK576" s="161">
        <f t="shared" si="240"/>
        <v>0</v>
      </c>
      <c r="AL576" s="160">
        <f t="shared" si="242"/>
        <v>90</v>
      </c>
    </row>
    <row r="577" spans="17:38" s="173" customFormat="1" ht="24" customHeight="1">
      <c r="Q577" s="174">
        <f t="shared" si="234"/>
        <v>0</v>
      </c>
      <c r="R577" s="159" t="s">
        <v>30</v>
      </c>
      <c r="S577" s="174">
        <v>0</v>
      </c>
      <c r="T577" s="159">
        <f t="shared" si="235"/>
        <v>0</v>
      </c>
      <c r="U577" s="159">
        <f t="shared" si="236"/>
        <v>0</v>
      </c>
      <c r="V577" s="157"/>
      <c r="W577" s="179"/>
      <c r="X577" s="162"/>
      <c r="Y577" s="155"/>
      <c r="Z577" s="155"/>
      <c r="AA577" s="156"/>
      <c r="AB577" s="155"/>
      <c r="AC577" s="155"/>
      <c r="AD577" s="155"/>
      <c r="AE577" s="176">
        <f t="shared" si="243"/>
        <v>0</v>
      </c>
      <c r="AF577" s="157"/>
      <c r="AG577" s="157"/>
      <c r="AH577" s="158">
        <f t="shared" si="239"/>
        <v>0</v>
      </c>
      <c r="AI577" s="160" t="e">
        <f>#REF!+5</f>
        <v>#REF!</v>
      </c>
      <c r="AJ577" s="157"/>
      <c r="AK577" s="161">
        <f t="shared" si="240"/>
        <v>0</v>
      </c>
      <c r="AL577" s="160">
        <f t="shared" si="242"/>
        <v>90</v>
      </c>
    </row>
    <row r="578" spans="17:38" s="170" customFormat="1" ht="24" customHeight="1">
      <c r="Q578" s="174">
        <f t="shared" si="234"/>
        <v>0</v>
      </c>
      <c r="R578" s="174" t="s">
        <v>34</v>
      </c>
      <c r="S578" s="174">
        <v>0</v>
      </c>
      <c r="T578" s="159">
        <f t="shared" si="235"/>
        <v>0</v>
      </c>
      <c r="U578" s="159">
        <f t="shared" si="236"/>
        <v>0</v>
      </c>
      <c r="V578" s="157"/>
      <c r="W578" s="179"/>
      <c r="X578" s="162"/>
      <c r="Y578" s="181"/>
      <c r="Z578" s="181"/>
      <c r="AA578" s="182"/>
      <c r="AB578" s="175"/>
      <c r="AC578" s="175"/>
      <c r="AD578" s="155"/>
      <c r="AE578" s="176">
        <f t="shared" si="243"/>
        <v>0</v>
      </c>
      <c r="AF578" s="157"/>
      <c r="AG578" s="157"/>
      <c r="AH578" s="158">
        <f t="shared" si="239"/>
        <v>0</v>
      </c>
      <c r="AI578" s="160" t="e">
        <f>#REF!+5</f>
        <v>#REF!</v>
      </c>
      <c r="AJ578" s="157"/>
      <c r="AK578" s="161">
        <f t="shared" si="240"/>
        <v>0</v>
      </c>
      <c r="AL578" s="160">
        <f t="shared" si="242"/>
        <v>90</v>
      </c>
    </row>
    <row r="579" spans="17:38" s="170" customFormat="1" ht="24" customHeight="1">
      <c r="Q579" s="174">
        <f t="shared" si="234"/>
        <v>0</v>
      </c>
      <c r="R579" s="174" t="s">
        <v>30</v>
      </c>
      <c r="S579" s="174">
        <v>0</v>
      </c>
      <c r="T579" s="159">
        <f t="shared" si="235"/>
        <v>0</v>
      </c>
      <c r="U579" s="159">
        <f t="shared" si="236"/>
        <v>0</v>
      </c>
      <c r="V579" s="157"/>
      <c r="W579" s="179"/>
      <c r="X579" s="162"/>
      <c r="Y579" s="183"/>
      <c r="Z579" s="181"/>
      <c r="AA579" s="156"/>
      <c r="AB579" s="156"/>
      <c r="AC579" s="155"/>
      <c r="AD579" s="155"/>
      <c r="AE579" s="176">
        <f t="shared" si="243"/>
        <v>0</v>
      </c>
      <c r="AF579" s="157"/>
      <c r="AG579" s="157"/>
      <c r="AH579" s="158">
        <f t="shared" si="239"/>
        <v>0</v>
      </c>
      <c r="AI579" s="160" t="e">
        <f>#REF!+5</f>
        <v>#REF!</v>
      </c>
      <c r="AJ579" s="157"/>
      <c r="AK579" s="161">
        <f t="shared" si="240"/>
        <v>0</v>
      </c>
      <c r="AL579" s="160">
        <f>Y579+180</f>
        <v>180</v>
      </c>
    </row>
    <row r="580" spans="17:38" s="170" customFormat="1" ht="24" customHeight="1">
      <c r="Q580" s="174">
        <f t="shared" si="234"/>
        <v>0</v>
      </c>
      <c r="R580" s="174" t="s">
        <v>30</v>
      </c>
      <c r="S580" s="174">
        <v>0</v>
      </c>
      <c r="T580" s="159">
        <f t="shared" si="235"/>
        <v>0</v>
      </c>
      <c r="U580" s="159">
        <f t="shared" si="236"/>
        <v>0</v>
      </c>
      <c r="V580" s="157"/>
      <c r="W580" s="179"/>
      <c r="X580" s="162"/>
      <c r="Y580" s="183"/>
      <c r="Z580" s="181"/>
      <c r="AA580" s="156"/>
      <c r="AB580" s="156"/>
      <c r="AC580" s="155"/>
      <c r="AD580" s="155"/>
      <c r="AE580" s="176">
        <f>AC580-AD580</f>
        <v>0</v>
      </c>
      <c r="AF580" s="157"/>
      <c r="AG580" s="157"/>
      <c r="AH580" s="158">
        <f t="shared" si="239"/>
        <v>0</v>
      </c>
      <c r="AI580" s="160" t="e">
        <f>#REF!+5</f>
        <v>#REF!</v>
      </c>
      <c r="AJ580" s="157"/>
      <c r="AK580" s="161">
        <f t="shared" si="240"/>
        <v>0</v>
      </c>
      <c r="AL580" s="160">
        <f>Y580+180</f>
        <v>180</v>
      </c>
    </row>
    <row r="581" spans="17:38" s="170" customFormat="1" ht="24" customHeight="1">
      <c r="Q581" s="174">
        <f t="shared" si="234"/>
        <v>0</v>
      </c>
      <c r="R581" s="159" t="s">
        <v>30</v>
      </c>
      <c r="S581" s="174">
        <v>0</v>
      </c>
      <c r="T581" s="159">
        <f t="shared" si="235"/>
        <v>0</v>
      </c>
      <c r="U581" s="159">
        <f t="shared" si="236"/>
        <v>0</v>
      </c>
      <c r="V581" s="157"/>
      <c r="W581" s="179"/>
      <c r="X581" s="162"/>
      <c r="Y581" s="183"/>
      <c r="Z581" s="181"/>
      <c r="AA581" s="156"/>
      <c r="AB581" s="175"/>
      <c r="AC581" s="155"/>
      <c r="AD581" s="155"/>
      <c r="AE581" s="176">
        <f t="shared" ref="AE581:AE595" si="244">AC581-AD581</f>
        <v>0</v>
      </c>
      <c r="AF581" s="157"/>
      <c r="AG581" s="157"/>
      <c r="AH581" s="158">
        <f t="shared" si="239"/>
        <v>0</v>
      </c>
      <c r="AI581" s="160" t="e">
        <f>#REF!+5</f>
        <v>#REF!</v>
      </c>
      <c r="AJ581" s="157"/>
      <c r="AK581" s="161">
        <f t="shared" si="240"/>
        <v>0</v>
      </c>
      <c r="AL581" s="160">
        <f t="shared" ref="AL581:AL601" si="245">Y581+90</f>
        <v>90</v>
      </c>
    </row>
    <row r="582" spans="17:38" s="170" customFormat="1" ht="24" customHeight="1">
      <c r="Q582" s="174">
        <f t="shared" ref="Q582:Q590" si="246">M582*P582</f>
        <v>0</v>
      </c>
      <c r="R582" s="159" t="s">
        <v>30</v>
      </c>
      <c r="S582" s="174">
        <v>0</v>
      </c>
      <c r="T582" s="159">
        <f t="shared" ref="T582:T590" si="247">M582*S582</f>
        <v>0</v>
      </c>
      <c r="U582" s="159">
        <f t="shared" ref="U582:U590" si="248">P582-S582</f>
        <v>0</v>
      </c>
      <c r="V582" s="157"/>
      <c r="W582" s="179"/>
      <c r="X582" s="162"/>
      <c r="Y582" s="183"/>
      <c r="Z582" s="181"/>
      <c r="AA582" s="156"/>
      <c r="AB582" s="175"/>
      <c r="AC582" s="155"/>
      <c r="AD582" s="155"/>
      <c r="AE582" s="176">
        <f t="shared" si="244"/>
        <v>0</v>
      </c>
      <c r="AF582" s="157"/>
      <c r="AG582" s="157"/>
      <c r="AH582" s="158">
        <f t="shared" si="239"/>
        <v>0</v>
      </c>
      <c r="AI582" s="160" t="e">
        <f>#REF!+5</f>
        <v>#REF!</v>
      </c>
      <c r="AJ582" s="157"/>
      <c r="AK582" s="161">
        <f t="shared" si="240"/>
        <v>0</v>
      </c>
      <c r="AL582" s="160">
        <f t="shared" si="245"/>
        <v>90</v>
      </c>
    </row>
    <row r="583" spans="17:38" s="170" customFormat="1" ht="24" customHeight="1">
      <c r="Q583" s="174">
        <f t="shared" si="246"/>
        <v>0</v>
      </c>
      <c r="R583" s="159" t="s">
        <v>30</v>
      </c>
      <c r="S583" s="174">
        <v>0</v>
      </c>
      <c r="T583" s="159">
        <f t="shared" si="247"/>
        <v>0</v>
      </c>
      <c r="U583" s="159">
        <f t="shared" si="248"/>
        <v>0</v>
      </c>
      <c r="V583" s="157"/>
      <c r="W583" s="179"/>
      <c r="X583" s="162"/>
      <c r="Y583" s="183"/>
      <c r="Z583" s="181"/>
      <c r="AA583" s="156"/>
      <c r="AB583" s="175"/>
      <c r="AC583" s="155"/>
      <c r="AD583" s="155"/>
      <c r="AE583" s="176">
        <f t="shared" si="244"/>
        <v>0</v>
      </c>
      <c r="AF583" s="157"/>
      <c r="AG583" s="157"/>
      <c r="AH583" s="158">
        <f t="shared" si="239"/>
        <v>0</v>
      </c>
      <c r="AI583" s="160" t="e">
        <f>#REF!+5</f>
        <v>#REF!</v>
      </c>
      <c r="AJ583" s="157"/>
      <c r="AK583" s="161">
        <f t="shared" si="240"/>
        <v>0</v>
      </c>
      <c r="AL583" s="160">
        <f t="shared" si="245"/>
        <v>90</v>
      </c>
    </row>
    <row r="584" spans="17:38" s="170" customFormat="1" ht="24" customHeight="1">
      <c r="Q584" s="174">
        <f t="shared" si="246"/>
        <v>0</v>
      </c>
      <c r="R584" s="159" t="s">
        <v>30</v>
      </c>
      <c r="S584" s="174">
        <v>0</v>
      </c>
      <c r="T584" s="159">
        <f t="shared" si="247"/>
        <v>0</v>
      </c>
      <c r="U584" s="159">
        <f t="shared" si="248"/>
        <v>0</v>
      </c>
      <c r="V584" s="157"/>
      <c r="W584" s="179"/>
      <c r="X584" s="162"/>
      <c r="Y584" s="183"/>
      <c r="Z584" s="181"/>
      <c r="AA584" s="156"/>
      <c r="AB584" s="175"/>
      <c r="AC584" s="155"/>
      <c r="AD584" s="155"/>
      <c r="AE584" s="176">
        <f t="shared" si="244"/>
        <v>0</v>
      </c>
      <c r="AF584" s="157"/>
      <c r="AG584" s="157"/>
      <c r="AH584" s="158">
        <f t="shared" si="239"/>
        <v>0</v>
      </c>
      <c r="AI584" s="160" t="e">
        <f>#REF!+5</f>
        <v>#REF!</v>
      </c>
      <c r="AJ584" s="157"/>
      <c r="AK584" s="161">
        <f t="shared" si="240"/>
        <v>0</v>
      </c>
      <c r="AL584" s="160">
        <f t="shared" si="245"/>
        <v>90</v>
      </c>
    </row>
    <row r="585" spans="17:38" s="170" customFormat="1" ht="24" customHeight="1">
      <c r="Q585" s="174">
        <f t="shared" si="246"/>
        <v>0</v>
      </c>
      <c r="R585" s="159" t="s">
        <v>30</v>
      </c>
      <c r="S585" s="174">
        <v>0</v>
      </c>
      <c r="T585" s="159">
        <f t="shared" si="247"/>
        <v>0</v>
      </c>
      <c r="U585" s="159">
        <f t="shared" si="248"/>
        <v>0</v>
      </c>
      <c r="V585" s="157"/>
      <c r="W585" s="179"/>
      <c r="X585" s="162"/>
      <c r="Y585" s="183"/>
      <c r="Z585" s="181"/>
      <c r="AA585" s="156"/>
      <c r="AB585" s="175"/>
      <c r="AC585" s="155"/>
      <c r="AD585" s="155"/>
      <c r="AE585" s="176">
        <f t="shared" si="244"/>
        <v>0</v>
      </c>
      <c r="AF585" s="157"/>
      <c r="AG585" s="157"/>
      <c r="AH585" s="158">
        <f t="shared" si="239"/>
        <v>0</v>
      </c>
      <c r="AI585" s="160" t="e">
        <f>#REF!+5</f>
        <v>#REF!</v>
      </c>
      <c r="AJ585" s="157"/>
      <c r="AK585" s="161">
        <f t="shared" si="240"/>
        <v>0</v>
      </c>
      <c r="AL585" s="160">
        <f t="shared" si="245"/>
        <v>90</v>
      </c>
    </row>
    <row r="586" spans="17:38" s="170" customFormat="1" ht="24" customHeight="1">
      <c r="Q586" s="174">
        <f t="shared" si="246"/>
        <v>0</v>
      </c>
      <c r="R586" s="174" t="s">
        <v>30</v>
      </c>
      <c r="S586" s="174">
        <v>0</v>
      </c>
      <c r="T586" s="159">
        <f t="shared" si="247"/>
        <v>0</v>
      </c>
      <c r="U586" s="159">
        <f t="shared" si="248"/>
        <v>0</v>
      </c>
      <c r="V586" s="157"/>
      <c r="W586" s="179"/>
      <c r="X586" s="162"/>
      <c r="Y586" s="181"/>
      <c r="Z586" s="181"/>
      <c r="AA586" s="156"/>
      <c r="AB586" s="156"/>
      <c r="AC586" s="155"/>
      <c r="AD586" s="155"/>
      <c r="AE586" s="176">
        <f t="shared" si="244"/>
        <v>0</v>
      </c>
      <c r="AF586" s="157"/>
      <c r="AG586" s="157"/>
      <c r="AH586" s="158">
        <f t="shared" si="239"/>
        <v>0</v>
      </c>
      <c r="AI586" s="160" t="e">
        <f>#REF!+5</f>
        <v>#REF!</v>
      </c>
      <c r="AJ586" s="157"/>
      <c r="AK586" s="161">
        <f t="shared" si="240"/>
        <v>0</v>
      </c>
      <c r="AL586" s="160">
        <f t="shared" si="245"/>
        <v>90</v>
      </c>
    </row>
    <row r="587" spans="17:38" s="170" customFormat="1" ht="24" customHeight="1">
      <c r="Q587" s="174">
        <f t="shared" si="246"/>
        <v>0</v>
      </c>
      <c r="R587" s="174" t="s">
        <v>30</v>
      </c>
      <c r="S587" s="174">
        <v>0</v>
      </c>
      <c r="T587" s="159">
        <f t="shared" si="247"/>
        <v>0</v>
      </c>
      <c r="U587" s="159">
        <f t="shared" si="248"/>
        <v>0</v>
      </c>
      <c r="V587" s="157"/>
      <c r="W587" s="179"/>
      <c r="X587" s="162"/>
      <c r="Y587" s="181"/>
      <c r="Z587" s="181"/>
      <c r="AA587" s="156"/>
      <c r="AB587" s="156"/>
      <c r="AC587" s="155"/>
      <c r="AD587" s="155"/>
      <c r="AE587" s="176">
        <f t="shared" si="244"/>
        <v>0</v>
      </c>
      <c r="AF587" s="157"/>
      <c r="AG587" s="157"/>
      <c r="AH587" s="158">
        <f t="shared" si="239"/>
        <v>0</v>
      </c>
      <c r="AI587" s="160" t="e">
        <f>#REF!+5</f>
        <v>#REF!</v>
      </c>
      <c r="AJ587" s="157"/>
      <c r="AK587" s="161">
        <f t="shared" si="240"/>
        <v>0</v>
      </c>
      <c r="AL587" s="160">
        <f t="shared" si="245"/>
        <v>90</v>
      </c>
    </row>
    <row r="588" spans="17:38" s="170" customFormat="1" ht="24" customHeight="1">
      <c r="Q588" s="174">
        <f t="shared" si="246"/>
        <v>0</v>
      </c>
      <c r="R588" s="174" t="s">
        <v>30</v>
      </c>
      <c r="S588" s="174">
        <v>0</v>
      </c>
      <c r="T588" s="159">
        <f t="shared" si="247"/>
        <v>0</v>
      </c>
      <c r="U588" s="159">
        <f t="shared" si="248"/>
        <v>0</v>
      </c>
      <c r="V588" s="157"/>
      <c r="W588" s="179"/>
      <c r="X588" s="162"/>
      <c r="Y588" s="181"/>
      <c r="Z588" s="181"/>
      <c r="AA588" s="156"/>
      <c r="AB588" s="156"/>
      <c r="AC588" s="155"/>
      <c r="AD588" s="155"/>
      <c r="AE588" s="176">
        <f t="shared" si="244"/>
        <v>0</v>
      </c>
      <c r="AF588" s="157"/>
      <c r="AG588" s="157"/>
      <c r="AH588" s="158">
        <f t="shared" si="239"/>
        <v>0</v>
      </c>
      <c r="AI588" s="160" t="e">
        <f>#REF!+5</f>
        <v>#REF!</v>
      </c>
      <c r="AJ588" s="157"/>
      <c r="AK588" s="161">
        <f t="shared" si="240"/>
        <v>0</v>
      </c>
      <c r="AL588" s="160">
        <f t="shared" si="245"/>
        <v>90</v>
      </c>
    </row>
    <row r="589" spans="17:38" s="170" customFormat="1" ht="24" customHeight="1">
      <c r="Q589" s="174">
        <f t="shared" si="246"/>
        <v>0</v>
      </c>
      <c r="R589" s="174" t="s">
        <v>30</v>
      </c>
      <c r="S589" s="174">
        <v>0</v>
      </c>
      <c r="T589" s="159">
        <f t="shared" si="247"/>
        <v>0</v>
      </c>
      <c r="U589" s="159">
        <f t="shared" si="248"/>
        <v>0</v>
      </c>
      <c r="V589" s="157"/>
      <c r="W589" s="179"/>
      <c r="X589" s="162"/>
      <c r="Y589" s="183"/>
      <c r="Z589" s="183"/>
      <c r="AA589" s="156"/>
      <c r="AB589" s="156"/>
      <c r="AC589" s="175"/>
      <c r="AD589" s="155"/>
      <c r="AE589" s="176">
        <f t="shared" si="244"/>
        <v>0</v>
      </c>
      <c r="AF589" s="157"/>
      <c r="AG589" s="157"/>
      <c r="AH589" s="158">
        <f t="shared" si="239"/>
        <v>0</v>
      </c>
      <c r="AI589" s="160" t="e">
        <f>#REF!+5</f>
        <v>#REF!</v>
      </c>
      <c r="AJ589" s="157"/>
      <c r="AK589" s="161">
        <f t="shared" si="240"/>
        <v>0</v>
      </c>
      <c r="AL589" s="160">
        <f t="shared" si="245"/>
        <v>90</v>
      </c>
    </row>
    <row r="590" spans="17:38" s="170" customFormat="1" ht="24" customHeight="1">
      <c r="Q590" s="174">
        <f t="shared" si="246"/>
        <v>0</v>
      </c>
      <c r="R590" s="174" t="s">
        <v>30</v>
      </c>
      <c r="S590" s="174">
        <v>0</v>
      </c>
      <c r="T590" s="159">
        <f t="shared" si="247"/>
        <v>0</v>
      </c>
      <c r="U590" s="159">
        <f t="shared" si="248"/>
        <v>0</v>
      </c>
      <c r="V590" s="157"/>
      <c r="W590" s="179"/>
      <c r="X590" s="162"/>
      <c r="Y590" s="183"/>
      <c r="Z590" s="183"/>
      <c r="AA590" s="156"/>
      <c r="AB590" s="156"/>
      <c r="AC590" s="175"/>
      <c r="AD590" s="155"/>
      <c r="AE590" s="176">
        <f t="shared" si="244"/>
        <v>0</v>
      </c>
      <c r="AF590" s="157"/>
      <c r="AG590" s="157"/>
      <c r="AH590" s="158">
        <f t="shared" si="239"/>
        <v>0</v>
      </c>
      <c r="AI590" s="160" t="e">
        <f>#REF!+5</f>
        <v>#REF!</v>
      </c>
      <c r="AJ590" s="157"/>
      <c r="AK590" s="161">
        <f t="shared" si="240"/>
        <v>0</v>
      </c>
      <c r="AL590" s="160">
        <f t="shared" si="245"/>
        <v>90</v>
      </c>
    </row>
    <row r="591" spans="17:38" s="170" customFormat="1" ht="24" customHeight="1">
      <c r="Q591" s="174">
        <f t="shared" ref="Q591:Q600" si="249">M591*P591</f>
        <v>0</v>
      </c>
      <c r="R591" s="159" t="s">
        <v>30</v>
      </c>
      <c r="S591" s="174">
        <v>0</v>
      </c>
      <c r="T591" s="159">
        <f t="shared" ref="T591:T600" si="250">M591*S591</f>
        <v>0</v>
      </c>
      <c r="U591" s="159">
        <f t="shared" ref="U591:U600" si="251">P591-S591</f>
        <v>0</v>
      </c>
      <c r="V591" s="157"/>
      <c r="W591" s="179"/>
      <c r="X591" s="162"/>
      <c r="Y591" s="183"/>
      <c r="Z591" s="183"/>
      <c r="AA591" s="156"/>
      <c r="AB591" s="175"/>
      <c r="AC591" s="175"/>
      <c r="AD591" s="155"/>
      <c r="AE591" s="176">
        <f>AC591-AD591</f>
        <v>0</v>
      </c>
      <c r="AF591" s="157"/>
      <c r="AG591" s="157"/>
      <c r="AH591" s="158">
        <f t="shared" si="239"/>
        <v>0</v>
      </c>
      <c r="AI591" s="160" t="e">
        <f>#REF!+5</f>
        <v>#REF!</v>
      </c>
      <c r="AJ591" s="157"/>
      <c r="AK591" s="161">
        <f t="shared" si="240"/>
        <v>0</v>
      </c>
      <c r="AL591" s="160">
        <f t="shared" si="245"/>
        <v>90</v>
      </c>
    </row>
    <row r="592" spans="17:38" s="170" customFormat="1" ht="24" customHeight="1">
      <c r="Q592" s="174">
        <f t="shared" si="249"/>
        <v>0</v>
      </c>
      <c r="R592" s="159" t="s">
        <v>30</v>
      </c>
      <c r="S592" s="174">
        <v>0</v>
      </c>
      <c r="T592" s="159">
        <f t="shared" si="250"/>
        <v>0</v>
      </c>
      <c r="U592" s="159">
        <f t="shared" si="251"/>
        <v>0</v>
      </c>
      <c r="V592" s="157"/>
      <c r="W592" s="179"/>
      <c r="X592" s="162"/>
      <c r="Y592" s="183"/>
      <c r="Z592" s="183"/>
      <c r="AA592" s="156"/>
      <c r="AB592" s="175"/>
      <c r="AC592" s="175"/>
      <c r="AD592" s="155"/>
      <c r="AE592" s="176">
        <f>AC592-AD592</f>
        <v>0</v>
      </c>
      <c r="AF592" s="157"/>
      <c r="AG592" s="157"/>
      <c r="AH592" s="158">
        <f t="shared" si="239"/>
        <v>0</v>
      </c>
      <c r="AI592" s="160" t="e">
        <f>#REF!+5</f>
        <v>#REF!</v>
      </c>
      <c r="AJ592" s="157"/>
      <c r="AK592" s="161">
        <f t="shared" si="240"/>
        <v>0</v>
      </c>
      <c r="AL592" s="160">
        <f t="shared" si="245"/>
        <v>90</v>
      </c>
    </row>
    <row r="593" spans="17:38" s="170" customFormat="1" ht="24" customHeight="1">
      <c r="Q593" s="174">
        <f t="shared" si="249"/>
        <v>0</v>
      </c>
      <c r="R593" s="159" t="s">
        <v>30</v>
      </c>
      <c r="S593" s="174">
        <v>0</v>
      </c>
      <c r="T593" s="159">
        <f t="shared" si="250"/>
        <v>0</v>
      </c>
      <c r="U593" s="159">
        <f t="shared" si="251"/>
        <v>0</v>
      </c>
      <c r="V593" s="157"/>
      <c r="W593" s="179"/>
      <c r="X593" s="162"/>
      <c r="Y593" s="183"/>
      <c r="Z593" s="183"/>
      <c r="AA593" s="156"/>
      <c r="AB593" s="156"/>
      <c r="AC593" s="175"/>
      <c r="AD593" s="155"/>
      <c r="AE593" s="176">
        <f t="shared" si="244"/>
        <v>0</v>
      </c>
      <c r="AF593" s="157"/>
      <c r="AG593" s="157"/>
      <c r="AH593" s="158">
        <f t="shared" si="239"/>
        <v>0</v>
      </c>
      <c r="AI593" s="160" t="e">
        <f>#REF!+5</f>
        <v>#REF!</v>
      </c>
      <c r="AJ593" s="157"/>
      <c r="AK593" s="161">
        <f t="shared" si="240"/>
        <v>0</v>
      </c>
      <c r="AL593" s="160">
        <f t="shared" si="245"/>
        <v>90</v>
      </c>
    </row>
    <row r="594" spans="17:38" s="42" customFormat="1" ht="24" customHeight="1">
      <c r="Q594" s="28">
        <f t="shared" si="249"/>
        <v>0</v>
      </c>
      <c r="R594" s="23" t="s">
        <v>30</v>
      </c>
      <c r="S594" s="28">
        <v>0</v>
      </c>
      <c r="T594" s="23">
        <f t="shared" si="250"/>
        <v>0</v>
      </c>
      <c r="U594" s="23">
        <f t="shared" si="251"/>
        <v>0</v>
      </c>
      <c r="V594" s="20"/>
      <c r="W594" s="30"/>
      <c r="X594" s="21"/>
      <c r="Y594" s="58"/>
      <c r="Z594" s="58"/>
      <c r="AA594" s="55"/>
      <c r="AB594" s="55"/>
      <c r="AC594" s="32"/>
      <c r="AD594" s="32"/>
      <c r="AE594" s="59">
        <f t="shared" si="244"/>
        <v>0</v>
      </c>
      <c r="AF594" s="20"/>
      <c r="AG594" s="20"/>
      <c r="AH594" s="51">
        <f t="shared" ref="AH594:AH610" si="252">L594-M594</f>
        <v>0</v>
      </c>
      <c r="AI594" s="37" t="e">
        <f>#REF!+5</f>
        <v>#REF!</v>
      </c>
      <c r="AJ594" s="20"/>
      <c r="AK594" s="24">
        <f t="shared" si="240"/>
        <v>0</v>
      </c>
      <c r="AL594" s="37">
        <f t="shared" si="245"/>
        <v>90</v>
      </c>
    </row>
    <row r="595" spans="17:38" s="42" customFormat="1" ht="24" customHeight="1">
      <c r="Q595" s="28">
        <f t="shared" si="249"/>
        <v>0</v>
      </c>
      <c r="R595" s="23" t="s">
        <v>30</v>
      </c>
      <c r="S595" s="28">
        <v>0</v>
      </c>
      <c r="T595" s="23">
        <f t="shared" si="250"/>
        <v>0</v>
      </c>
      <c r="U595" s="23">
        <f t="shared" si="251"/>
        <v>0</v>
      </c>
      <c r="V595" s="25"/>
      <c r="W595" s="30"/>
      <c r="X595" s="21"/>
      <c r="Y595" s="32"/>
      <c r="Z595" s="56"/>
      <c r="AA595" s="55"/>
      <c r="AB595" s="56"/>
      <c r="AC595" s="56"/>
      <c r="AD595" s="32"/>
      <c r="AE595" s="59">
        <f t="shared" si="244"/>
        <v>0</v>
      </c>
      <c r="AF595" s="20"/>
      <c r="AG595" s="20"/>
      <c r="AH595" s="54">
        <f t="shared" si="252"/>
        <v>0</v>
      </c>
      <c r="AI595" s="37" t="e">
        <f>#REF!+5</f>
        <v>#REF!</v>
      </c>
      <c r="AJ595" s="20"/>
      <c r="AK595" s="24">
        <f t="shared" si="240"/>
        <v>0</v>
      </c>
      <c r="AL595" s="37">
        <f t="shared" si="245"/>
        <v>90</v>
      </c>
    </row>
    <row r="596" spans="17:38" s="42" customFormat="1" ht="24" customHeight="1">
      <c r="Q596" s="28">
        <f t="shared" si="249"/>
        <v>0</v>
      </c>
      <c r="R596" s="23" t="s">
        <v>30</v>
      </c>
      <c r="S596" s="28">
        <v>0</v>
      </c>
      <c r="T596" s="23">
        <f t="shared" si="250"/>
        <v>0</v>
      </c>
      <c r="U596" s="23">
        <f t="shared" si="251"/>
        <v>0</v>
      </c>
      <c r="V596" s="25"/>
      <c r="W596" s="30"/>
      <c r="X596" s="21"/>
      <c r="Y596" s="32"/>
      <c r="Z596" s="56"/>
      <c r="AA596" s="55"/>
      <c r="AB596" s="56"/>
      <c r="AC596" s="56"/>
      <c r="AD596" s="32"/>
      <c r="AE596" s="59">
        <f>AC596-AD596</f>
        <v>0</v>
      </c>
      <c r="AF596" s="20"/>
      <c r="AG596" s="20"/>
      <c r="AH596" s="54">
        <f t="shared" si="252"/>
        <v>0</v>
      </c>
      <c r="AI596" s="37" t="e">
        <f>#REF!+5</f>
        <v>#REF!</v>
      </c>
      <c r="AJ596" s="20"/>
      <c r="AK596" s="24">
        <f t="shared" si="240"/>
        <v>0</v>
      </c>
      <c r="AL596" s="37">
        <f t="shared" si="245"/>
        <v>90</v>
      </c>
    </row>
    <row r="597" spans="17:38" s="42" customFormat="1" ht="24" customHeight="1">
      <c r="Q597" s="28">
        <f t="shared" si="249"/>
        <v>0</v>
      </c>
      <c r="R597" s="23" t="s">
        <v>30</v>
      </c>
      <c r="S597" s="28">
        <v>0</v>
      </c>
      <c r="T597" s="23">
        <f t="shared" si="250"/>
        <v>0</v>
      </c>
      <c r="U597" s="23">
        <f t="shared" si="251"/>
        <v>0</v>
      </c>
      <c r="V597" s="25"/>
      <c r="W597" s="30"/>
      <c r="X597" s="21"/>
      <c r="Y597" s="32"/>
      <c r="Z597" s="56"/>
      <c r="AA597" s="55"/>
      <c r="AB597" s="56"/>
      <c r="AC597" s="56"/>
      <c r="AD597" s="32"/>
      <c r="AE597" s="59">
        <f>AC597-AD597</f>
        <v>0</v>
      </c>
      <c r="AF597" s="20"/>
      <c r="AG597" s="20"/>
      <c r="AH597" s="54">
        <f t="shared" si="252"/>
        <v>0</v>
      </c>
      <c r="AI597" s="37" t="e">
        <f>#REF!+5</f>
        <v>#REF!</v>
      </c>
      <c r="AJ597" s="20"/>
      <c r="AK597" s="24">
        <f t="shared" si="240"/>
        <v>0</v>
      </c>
      <c r="AL597" s="37">
        <f t="shared" si="245"/>
        <v>90</v>
      </c>
    </row>
    <row r="598" spans="17:38" s="42" customFormat="1" ht="24" customHeight="1">
      <c r="Q598" s="28">
        <f t="shared" si="249"/>
        <v>0</v>
      </c>
      <c r="R598" s="23" t="s">
        <v>30</v>
      </c>
      <c r="S598" s="28">
        <v>0</v>
      </c>
      <c r="T598" s="23">
        <f t="shared" si="250"/>
        <v>0</v>
      </c>
      <c r="U598" s="23">
        <f t="shared" si="251"/>
        <v>0</v>
      </c>
      <c r="V598" s="25"/>
      <c r="W598" s="30"/>
      <c r="X598" s="21"/>
      <c r="Y598" s="32"/>
      <c r="Z598" s="56"/>
      <c r="AA598" s="55"/>
      <c r="AB598" s="56"/>
      <c r="AC598" s="56"/>
      <c r="AD598" s="32"/>
      <c r="AE598" s="59">
        <f>AC598-AD598</f>
        <v>0</v>
      </c>
      <c r="AF598" s="20"/>
      <c r="AG598" s="20"/>
      <c r="AH598" s="54">
        <f t="shared" si="252"/>
        <v>0</v>
      </c>
      <c r="AI598" s="37" t="e">
        <f>#REF!+5</f>
        <v>#REF!</v>
      </c>
      <c r="AJ598" s="20"/>
      <c r="AK598" s="24">
        <f t="shared" si="240"/>
        <v>0</v>
      </c>
      <c r="AL598" s="37">
        <f t="shared" si="245"/>
        <v>90</v>
      </c>
    </row>
    <row r="599" spans="17:38" s="42" customFormat="1" ht="24" customHeight="1">
      <c r="Q599" s="28">
        <f t="shared" si="249"/>
        <v>0</v>
      </c>
      <c r="R599" s="23" t="s">
        <v>30</v>
      </c>
      <c r="S599" s="28">
        <v>0</v>
      </c>
      <c r="T599" s="23">
        <f t="shared" si="250"/>
        <v>0</v>
      </c>
      <c r="U599" s="23">
        <f t="shared" si="251"/>
        <v>0</v>
      </c>
      <c r="V599" s="25"/>
      <c r="W599" s="30"/>
      <c r="X599" s="21"/>
      <c r="Y599" s="32"/>
      <c r="Z599" s="56"/>
      <c r="AA599" s="55"/>
      <c r="AB599" s="56"/>
      <c r="AC599" s="56"/>
      <c r="AD599" s="32"/>
      <c r="AE599" s="59">
        <f>AC599-AD599</f>
        <v>0</v>
      </c>
      <c r="AF599" s="20"/>
      <c r="AG599" s="20"/>
      <c r="AH599" s="54">
        <f t="shared" si="252"/>
        <v>0</v>
      </c>
      <c r="AI599" s="37" t="e">
        <f>#REF!+5</f>
        <v>#REF!</v>
      </c>
      <c r="AJ599" s="20"/>
      <c r="AK599" s="24">
        <f t="shared" si="240"/>
        <v>0</v>
      </c>
      <c r="AL599" s="37">
        <f t="shared" si="245"/>
        <v>90</v>
      </c>
    </row>
    <row r="600" spans="17:38" s="42" customFormat="1" ht="24" customHeight="1">
      <c r="Q600" s="28">
        <f t="shared" si="249"/>
        <v>0</v>
      </c>
      <c r="R600" s="23" t="s">
        <v>30</v>
      </c>
      <c r="S600" s="28">
        <v>0</v>
      </c>
      <c r="T600" s="23">
        <f t="shared" si="250"/>
        <v>0</v>
      </c>
      <c r="U600" s="23">
        <f t="shared" si="251"/>
        <v>0</v>
      </c>
      <c r="V600" s="25"/>
      <c r="W600" s="30"/>
      <c r="X600" s="21"/>
      <c r="Y600" s="32"/>
      <c r="Z600" s="56"/>
      <c r="AA600" s="55"/>
      <c r="AB600" s="56"/>
      <c r="AC600" s="56"/>
      <c r="AD600" s="32"/>
      <c r="AE600" s="59">
        <f>AC600-AD600</f>
        <v>0</v>
      </c>
      <c r="AF600" s="20"/>
      <c r="AG600" s="20"/>
      <c r="AH600" s="54">
        <f t="shared" si="252"/>
        <v>0</v>
      </c>
      <c r="AI600" s="37" t="e">
        <f>#REF!+5</f>
        <v>#REF!</v>
      </c>
      <c r="AJ600" s="20"/>
      <c r="AK600" s="24">
        <f t="shared" si="240"/>
        <v>0</v>
      </c>
      <c r="AL600" s="37">
        <f t="shared" si="245"/>
        <v>90</v>
      </c>
    </row>
    <row r="601" spans="17:38" s="42" customFormat="1" ht="24" customHeight="1">
      <c r="Q601" s="28">
        <f t="shared" ref="Q601:Q607" si="253">M601*P601</f>
        <v>0</v>
      </c>
      <c r="R601" s="23" t="s">
        <v>30</v>
      </c>
      <c r="S601" s="28">
        <v>0</v>
      </c>
      <c r="T601" s="23">
        <f t="shared" ref="T601:T608" si="254">M601*S601</f>
        <v>0</v>
      </c>
      <c r="U601" s="23">
        <f t="shared" ref="U601:U607" si="255">P601-S601</f>
        <v>0</v>
      </c>
      <c r="V601" s="25"/>
      <c r="W601" s="30"/>
      <c r="X601" s="21"/>
      <c r="Y601" s="32"/>
      <c r="Z601" s="56"/>
      <c r="AA601" s="55"/>
      <c r="AB601" s="56"/>
      <c r="AC601" s="56"/>
      <c r="AD601" s="32"/>
      <c r="AE601" s="59">
        <f t="shared" ref="AE601:AE608" si="256">AC601-AD601</f>
        <v>0</v>
      </c>
      <c r="AF601" s="20"/>
      <c r="AG601" s="20"/>
      <c r="AH601" s="54">
        <f t="shared" si="252"/>
        <v>0</v>
      </c>
      <c r="AI601" s="37" t="e">
        <f>#REF!+5</f>
        <v>#REF!</v>
      </c>
      <c r="AJ601" s="20"/>
      <c r="AK601" s="24">
        <f t="shared" si="240"/>
        <v>0</v>
      </c>
      <c r="AL601" s="37">
        <f t="shared" si="245"/>
        <v>90</v>
      </c>
    </row>
    <row r="602" spans="17:38" s="42" customFormat="1" ht="24" customHeight="1">
      <c r="Q602" s="28">
        <f t="shared" si="253"/>
        <v>0</v>
      </c>
      <c r="R602" s="23" t="s">
        <v>30</v>
      </c>
      <c r="S602" s="28">
        <v>0</v>
      </c>
      <c r="T602" s="23">
        <f t="shared" si="254"/>
        <v>0</v>
      </c>
      <c r="U602" s="23">
        <f t="shared" si="255"/>
        <v>0</v>
      </c>
      <c r="V602" s="25"/>
      <c r="W602" s="30"/>
      <c r="X602" s="21"/>
      <c r="Y602" s="56"/>
      <c r="Z602" s="56"/>
      <c r="AA602" s="25"/>
      <c r="AB602" s="125"/>
      <c r="AC602" s="32"/>
      <c r="AD602" s="56"/>
      <c r="AE602" s="59">
        <f t="shared" si="256"/>
        <v>0</v>
      </c>
      <c r="AF602" s="20"/>
      <c r="AG602" s="20"/>
      <c r="AH602" s="51">
        <f t="shared" si="252"/>
        <v>0</v>
      </c>
      <c r="AI602" s="37" t="e">
        <f>#REF!+5</f>
        <v>#REF!</v>
      </c>
      <c r="AJ602" s="20"/>
      <c r="AK602" s="24">
        <f t="shared" si="240"/>
        <v>0</v>
      </c>
      <c r="AL602" s="37">
        <f t="shared" ref="AL602:AL608" si="257">Y602+90</f>
        <v>90</v>
      </c>
    </row>
    <row r="603" spans="17:38" s="42" customFormat="1" ht="24" customHeight="1">
      <c r="Q603" s="28">
        <f t="shared" si="253"/>
        <v>0</v>
      </c>
      <c r="R603" s="23" t="s">
        <v>30</v>
      </c>
      <c r="S603" s="28">
        <v>0</v>
      </c>
      <c r="T603" s="23">
        <f t="shared" si="254"/>
        <v>0</v>
      </c>
      <c r="U603" s="23">
        <f t="shared" si="255"/>
        <v>0</v>
      </c>
      <c r="V603" s="25"/>
      <c r="W603" s="30"/>
      <c r="X603" s="21"/>
      <c r="Y603" s="56"/>
      <c r="Z603" s="56"/>
      <c r="AA603" s="25"/>
      <c r="AB603" s="125"/>
      <c r="AC603" s="32"/>
      <c r="AD603" s="56"/>
      <c r="AE603" s="59">
        <f t="shared" si="256"/>
        <v>0</v>
      </c>
      <c r="AF603" s="20"/>
      <c r="AG603" s="20"/>
      <c r="AH603" s="51">
        <f t="shared" si="252"/>
        <v>0</v>
      </c>
      <c r="AI603" s="37" t="e">
        <f>#REF!+5</f>
        <v>#REF!</v>
      </c>
      <c r="AJ603" s="20"/>
      <c r="AK603" s="24">
        <f t="shared" si="240"/>
        <v>0</v>
      </c>
      <c r="AL603" s="37">
        <f t="shared" si="257"/>
        <v>90</v>
      </c>
    </row>
    <row r="604" spans="17:38" s="42" customFormat="1" ht="24" customHeight="1">
      <c r="Q604" s="28">
        <f t="shared" si="253"/>
        <v>0</v>
      </c>
      <c r="R604" s="23" t="s">
        <v>30</v>
      </c>
      <c r="S604" s="28">
        <v>0</v>
      </c>
      <c r="T604" s="23">
        <f t="shared" si="254"/>
        <v>0</v>
      </c>
      <c r="U604" s="23">
        <f t="shared" si="255"/>
        <v>0</v>
      </c>
      <c r="V604" s="25"/>
      <c r="W604" s="30"/>
      <c r="X604" s="21"/>
      <c r="Y604" s="56"/>
      <c r="Z604" s="56"/>
      <c r="AA604" s="25"/>
      <c r="AB604" s="125"/>
      <c r="AC604" s="32"/>
      <c r="AD604" s="56"/>
      <c r="AE604" s="59">
        <f t="shared" si="256"/>
        <v>0</v>
      </c>
      <c r="AF604" s="20"/>
      <c r="AG604" s="20"/>
      <c r="AH604" s="51">
        <f t="shared" si="252"/>
        <v>0</v>
      </c>
      <c r="AI604" s="37" t="e">
        <f>#REF!+5</f>
        <v>#REF!</v>
      </c>
      <c r="AJ604" s="20"/>
      <c r="AK604" s="24">
        <f t="shared" si="240"/>
        <v>0</v>
      </c>
      <c r="AL604" s="37">
        <f t="shared" si="257"/>
        <v>90</v>
      </c>
    </row>
    <row r="605" spans="17:38" s="42" customFormat="1" ht="24" customHeight="1">
      <c r="Q605" s="28">
        <f t="shared" si="253"/>
        <v>0</v>
      </c>
      <c r="R605" s="23" t="s">
        <v>30</v>
      </c>
      <c r="S605" s="28">
        <v>0</v>
      </c>
      <c r="T605" s="23">
        <f t="shared" si="254"/>
        <v>0</v>
      </c>
      <c r="U605" s="23">
        <f t="shared" si="255"/>
        <v>0</v>
      </c>
      <c r="V605" s="60"/>
      <c r="W605" s="30"/>
      <c r="X605" s="21"/>
      <c r="Y605" s="56"/>
      <c r="Z605" s="56"/>
      <c r="AA605" s="60"/>
      <c r="AB605" s="126"/>
      <c r="AC605" s="32"/>
      <c r="AD605" s="56"/>
      <c r="AE605" s="59">
        <f t="shared" si="256"/>
        <v>0</v>
      </c>
      <c r="AF605" s="20"/>
      <c r="AG605" s="20"/>
      <c r="AH605" s="51">
        <f t="shared" si="252"/>
        <v>0</v>
      </c>
      <c r="AI605" s="37" t="e">
        <f>#REF!+5</f>
        <v>#REF!</v>
      </c>
      <c r="AJ605" s="20"/>
      <c r="AK605" s="24">
        <f t="shared" si="240"/>
        <v>0</v>
      </c>
      <c r="AL605" s="37">
        <f t="shared" si="257"/>
        <v>90</v>
      </c>
    </row>
    <row r="606" spans="17:38" s="42" customFormat="1" ht="24" customHeight="1">
      <c r="Q606" s="28">
        <f t="shared" si="253"/>
        <v>0</v>
      </c>
      <c r="R606" s="23" t="s">
        <v>30</v>
      </c>
      <c r="S606" s="28">
        <v>0</v>
      </c>
      <c r="T606" s="23">
        <f t="shared" si="254"/>
        <v>0</v>
      </c>
      <c r="U606" s="23">
        <f t="shared" si="255"/>
        <v>0</v>
      </c>
      <c r="V606" s="25"/>
      <c r="W606" s="30"/>
      <c r="X606" s="21"/>
      <c r="Y606" s="56"/>
      <c r="Z606" s="56"/>
      <c r="AA606" s="25"/>
      <c r="AB606" s="125"/>
      <c r="AC606" s="32"/>
      <c r="AD606" s="56"/>
      <c r="AE606" s="59">
        <f t="shared" si="256"/>
        <v>0</v>
      </c>
      <c r="AF606" s="20"/>
      <c r="AG606" s="20"/>
      <c r="AH606" s="51">
        <f t="shared" si="252"/>
        <v>0</v>
      </c>
      <c r="AI606" s="37" t="e">
        <f>#REF!+5</f>
        <v>#REF!</v>
      </c>
      <c r="AJ606" s="20"/>
      <c r="AK606" s="24">
        <f t="shared" si="240"/>
        <v>0</v>
      </c>
      <c r="AL606" s="37">
        <f t="shared" si="257"/>
        <v>90</v>
      </c>
    </row>
    <row r="607" spans="17:38" s="42" customFormat="1" ht="24" customHeight="1">
      <c r="Q607" s="28">
        <f t="shared" si="253"/>
        <v>0</v>
      </c>
      <c r="R607" s="23" t="s">
        <v>30</v>
      </c>
      <c r="S607" s="28">
        <v>0</v>
      </c>
      <c r="T607" s="23">
        <f t="shared" si="254"/>
        <v>0</v>
      </c>
      <c r="U607" s="23">
        <f t="shared" si="255"/>
        <v>0</v>
      </c>
      <c r="V607" s="25"/>
      <c r="W607" s="30"/>
      <c r="X607" s="21"/>
      <c r="Y607" s="56"/>
      <c r="Z607" s="56"/>
      <c r="AA607" s="25"/>
      <c r="AB607" s="125"/>
      <c r="AC607" s="32"/>
      <c r="AD607" s="56"/>
      <c r="AE607" s="59">
        <f t="shared" si="256"/>
        <v>0</v>
      </c>
      <c r="AF607" s="20"/>
      <c r="AG607" s="20"/>
      <c r="AH607" s="51">
        <f t="shared" si="252"/>
        <v>0</v>
      </c>
      <c r="AI607" s="37" t="e">
        <f>#REF!+5</f>
        <v>#REF!</v>
      </c>
      <c r="AJ607" s="20"/>
      <c r="AK607" s="24">
        <f t="shared" si="240"/>
        <v>0</v>
      </c>
      <c r="AL607" s="37">
        <f t="shared" si="257"/>
        <v>90</v>
      </c>
    </row>
    <row r="608" spans="17:38" s="42" customFormat="1" ht="24" customHeight="1">
      <c r="Q608" s="28"/>
      <c r="R608" s="23" t="s">
        <v>30</v>
      </c>
      <c r="S608" s="28">
        <v>0</v>
      </c>
      <c r="T608" s="23">
        <f t="shared" si="254"/>
        <v>0</v>
      </c>
      <c r="U608" s="23"/>
      <c r="V608" s="20"/>
      <c r="W608" s="30"/>
      <c r="X608" s="21"/>
      <c r="Y608" s="56"/>
      <c r="Z608" s="56"/>
      <c r="AA608" s="55"/>
      <c r="AB608" s="55"/>
      <c r="AC608" s="32"/>
      <c r="AD608" s="56"/>
      <c r="AE608" s="59">
        <f t="shared" si="256"/>
        <v>0</v>
      </c>
      <c r="AF608" s="20"/>
      <c r="AG608" s="20"/>
      <c r="AH608" s="51">
        <f t="shared" si="252"/>
        <v>0</v>
      </c>
      <c r="AI608" s="37" t="e">
        <f>#REF!+5</f>
        <v>#REF!</v>
      </c>
      <c r="AJ608" s="20"/>
      <c r="AK608" s="24">
        <f t="shared" si="240"/>
        <v>0</v>
      </c>
      <c r="AL608" s="37">
        <f t="shared" si="257"/>
        <v>90</v>
      </c>
    </row>
    <row r="609" spans="17:38" s="42" customFormat="1" ht="24" customHeight="1">
      <c r="Q609" s="28">
        <f>M609*P609</f>
        <v>0</v>
      </c>
      <c r="R609" s="28" t="s">
        <v>34</v>
      </c>
      <c r="S609" s="28">
        <v>0</v>
      </c>
      <c r="T609" s="23">
        <f>M609*S609</f>
        <v>0</v>
      </c>
      <c r="U609" s="23">
        <f>P609-S609</f>
        <v>0</v>
      </c>
      <c r="V609" s="20"/>
      <c r="W609" s="30"/>
      <c r="X609" s="21"/>
      <c r="Y609" s="58"/>
      <c r="Z609" s="58"/>
      <c r="AA609" s="55"/>
      <c r="AB609" s="55"/>
      <c r="AC609" s="32"/>
      <c r="AD609" s="32"/>
      <c r="AE609" s="59">
        <f>AC609-AD609</f>
        <v>0</v>
      </c>
      <c r="AF609" s="20"/>
      <c r="AG609" s="20"/>
      <c r="AH609" s="51">
        <f t="shared" si="252"/>
        <v>0</v>
      </c>
      <c r="AI609" s="37" t="e">
        <f>#REF!+5</f>
        <v>#REF!</v>
      </c>
      <c r="AJ609" s="20"/>
      <c r="AK609" s="24">
        <f t="shared" si="240"/>
        <v>0</v>
      </c>
      <c r="AL609" s="37">
        <f>Y609+90</f>
        <v>90</v>
      </c>
    </row>
    <row r="610" spans="17:38" s="42" customFormat="1" ht="24" customHeight="1">
      <c r="Q610" s="28">
        <f>M610*P610</f>
        <v>0</v>
      </c>
      <c r="R610" s="23" t="s">
        <v>30</v>
      </c>
      <c r="S610" s="28">
        <v>0</v>
      </c>
      <c r="T610" s="23">
        <f>M610*S610</f>
        <v>0</v>
      </c>
      <c r="U610" s="23">
        <f>P610-S610</f>
        <v>0</v>
      </c>
      <c r="V610" s="20"/>
      <c r="W610" s="30"/>
      <c r="X610" s="21"/>
      <c r="Y610" s="58"/>
      <c r="Z610" s="58"/>
      <c r="AA610" s="55"/>
      <c r="AB610" s="55"/>
      <c r="AC610" s="32"/>
      <c r="AD610" s="32"/>
      <c r="AE610" s="59"/>
      <c r="AF610" s="20"/>
      <c r="AG610" s="20"/>
      <c r="AH610" s="51">
        <f t="shared" si="252"/>
        <v>0</v>
      </c>
      <c r="AI610" s="37"/>
      <c r="AJ610" s="20"/>
      <c r="AK610" s="24"/>
      <c r="AL610" s="37"/>
    </row>
    <row r="611" spans="17:38" s="42" customFormat="1" ht="24" customHeight="1">
      <c r="Q611" s="72">
        <f t="shared" ref="Q611:Q648" si="258">M611*P611</f>
        <v>0</v>
      </c>
      <c r="R611" s="67" t="s">
        <v>30</v>
      </c>
      <c r="S611" s="28">
        <v>0</v>
      </c>
      <c r="T611" s="67">
        <f t="shared" ref="T611:T629" si="259">M611*S611</f>
        <v>0</v>
      </c>
      <c r="U611" s="67">
        <f t="shared" ref="U611:U629" si="260">P611-S611</f>
        <v>0</v>
      </c>
    </row>
    <row r="612" spans="17:38" s="42" customFormat="1" ht="24" customHeight="1">
      <c r="Q612" s="28">
        <f t="shared" si="258"/>
        <v>0</v>
      </c>
      <c r="R612" s="23" t="s">
        <v>30</v>
      </c>
      <c r="S612" s="28">
        <v>0</v>
      </c>
      <c r="T612" s="23">
        <f t="shared" si="259"/>
        <v>0</v>
      </c>
      <c r="U612" s="23">
        <f t="shared" si="260"/>
        <v>0</v>
      </c>
    </row>
    <row r="613" spans="17:38" s="42" customFormat="1" ht="24" customHeight="1">
      <c r="Q613" s="72">
        <f t="shared" si="258"/>
        <v>0</v>
      </c>
      <c r="R613" s="67" t="s">
        <v>30</v>
      </c>
      <c r="S613" s="28">
        <v>0</v>
      </c>
      <c r="T613" s="67">
        <f t="shared" si="259"/>
        <v>0</v>
      </c>
      <c r="U613" s="67">
        <f t="shared" si="260"/>
        <v>0</v>
      </c>
    </row>
    <row r="614" spans="17:38" s="42" customFormat="1" ht="24" customHeight="1">
      <c r="Q614" s="72">
        <f t="shared" si="258"/>
        <v>0</v>
      </c>
      <c r="R614" s="67" t="s">
        <v>30</v>
      </c>
      <c r="S614" s="28">
        <v>0</v>
      </c>
      <c r="T614" s="67">
        <f t="shared" si="259"/>
        <v>0</v>
      </c>
      <c r="U614" s="67">
        <f t="shared" si="260"/>
        <v>0</v>
      </c>
    </row>
    <row r="615" spans="17:38" s="42" customFormat="1" ht="24" customHeight="1">
      <c r="Q615" s="72">
        <f t="shared" si="258"/>
        <v>0</v>
      </c>
      <c r="R615" s="67" t="s">
        <v>30</v>
      </c>
      <c r="S615" s="28">
        <v>0</v>
      </c>
      <c r="T615" s="67">
        <f t="shared" si="259"/>
        <v>0</v>
      </c>
      <c r="U615" s="67">
        <f t="shared" si="260"/>
        <v>0</v>
      </c>
    </row>
    <row r="616" spans="17:38" s="42" customFormat="1" ht="24" customHeight="1">
      <c r="Q616" s="72">
        <f t="shared" si="258"/>
        <v>0</v>
      </c>
      <c r="R616" s="67" t="s">
        <v>30</v>
      </c>
      <c r="S616" s="28">
        <v>0</v>
      </c>
      <c r="T616" s="67">
        <f t="shared" si="259"/>
        <v>0</v>
      </c>
      <c r="U616" s="67">
        <f t="shared" si="260"/>
        <v>0</v>
      </c>
    </row>
    <row r="617" spans="17:38" s="11" customFormat="1" ht="24" customHeight="1">
      <c r="Q617" s="72">
        <f t="shared" si="258"/>
        <v>0</v>
      </c>
      <c r="R617" s="67" t="s">
        <v>30</v>
      </c>
      <c r="S617" s="28">
        <v>0</v>
      </c>
      <c r="T617" s="67">
        <f t="shared" si="259"/>
        <v>0</v>
      </c>
      <c r="U617" s="67">
        <f t="shared" si="260"/>
        <v>0</v>
      </c>
    </row>
    <row r="618" spans="17:38" s="11" customFormat="1" ht="24" customHeight="1">
      <c r="Q618" s="72">
        <f t="shared" si="258"/>
        <v>0</v>
      </c>
      <c r="R618" s="67" t="s">
        <v>30</v>
      </c>
      <c r="S618" s="28">
        <v>0</v>
      </c>
      <c r="T618" s="67">
        <f t="shared" si="259"/>
        <v>0</v>
      </c>
      <c r="U618" s="67">
        <f t="shared" si="260"/>
        <v>0</v>
      </c>
    </row>
    <row r="619" spans="17:38" s="11" customFormat="1" ht="24" customHeight="1">
      <c r="Q619" s="72">
        <f t="shared" si="258"/>
        <v>0</v>
      </c>
      <c r="R619" s="67" t="s">
        <v>30</v>
      </c>
      <c r="S619" s="28">
        <v>0</v>
      </c>
      <c r="T619" s="67">
        <f t="shared" si="259"/>
        <v>0</v>
      </c>
      <c r="U619" s="67">
        <f t="shared" si="260"/>
        <v>0</v>
      </c>
    </row>
    <row r="620" spans="17:38" s="11" customFormat="1" ht="24" customHeight="1">
      <c r="Q620" s="72">
        <f t="shared" si="258"/>
        <v>0</v>
      </c>
      <c r="R620" s="67" t="s">
        <v>30</v>
      </c>
      <c r="S620" s="28">
        <v>0</v>
      </c>
      <c r="T620" s="67">
        <f t="shared" si="259"/>
        <v>0</v>
      </c>
      <c r="U620" s="67">
        <f t="shared" si="260"/>
        <v>0</v>
      </c>
    </row>
    <row r="621" spans="17:38" s="11" customFormat="1" ht="24" customHeight="1">
      <c r="Q621" s="72">
        <f t="shared" si="258"/>
        <v>0</v>
      </c>
      <c r="R621" s="67" t="s">
        <v>30</v>
      </c>
      <c r="S621" s="28">
        <v>0</v>
      </c>
      <c r="T621" s="67">
        <f t="shared" si="259"/>
        <v>0</v>
      </c>
      <c r="U621" s="67">
        <f t="shared" si="260"/>
        <v>0</v>
      </c>
    </row>
    <row r="622" spans="17:38" s="12" customFormat="1" ht="24" customHeight="1">
      <c r="Q622" s="72">
        <f t="shared" si="258"/>
        <v>0</v>
      </c>
      <c r="R622" s="67" t="s">
        <v>30</v>
      </c>
      <c r="S622" s="28">
        <v>0</v>
      </c>
      <c r="T622" s="67">
        <f t="shared" si="259"/>
        <v>0</v>
      </c>
      <c r="U622" s="67">
        <f t="shared" si="260"/>
        <v>0</v>
      </c>
    </row>
    <row r="623" spans="17:38" s="11" customFormat="1" ht="24" customHeight="1">
      <c r="Q623" s="72">
        <f t="shared" si="258"/>
        <v>0</v>
      </c>
      <c r="R623" s="67" t="s">
        <v>30</v>
      </c>
      <c r="S623" s="28">
        <v>0</v>
      </c>
      <c r="T623" s="67">
        <f t="shared" si="259"/>
        <v>0</v>
      </c>
      <c r="U623" s="67">
        <f t="shared" si="260"/>
        <v>0</v>
      </c>
    </row>
    <row r="624" spans="17:38" s="11" customFormat="1" ht="24" customHeight="1">
      <c r="Q624" s="72">
        <f t="shared" si="258"/>
        <v>0</v>
      </c>
      <c r="R624" s="67" t="s">
        <v>30</v>
      </c>
      <c r="S624" s="28">
        <v>0</v>
      </c>
      <c r="T624" s="67">
        <f t="shared" si="259"/>
        <v>0</v>
      </c>
      <c r="U624" s="67">
        <f t="shared" si="260"/>
        <v>0</v>
      </c>
    </row>
    <row r="625" spans="17:36" s="11" customFormat="1" ht="24" customHeight="1">
      <c r="Q625" s="72">
        <f t="shared" si="258"/>
        <v>0</v>
      </c>
      <c r="R625" s="67" t="s">
        <v>30</v>
      </c>
      <c r="S625" s="28">
        <v>0</v>
      </c>
      <c r="T625" s="67">
        <f t="shared" si="259"/>
        <v>0</v>
      </c>
      <c r="U625" s="67">
        <f t="shared" si="260"/>
        <v>0</v>
      </c>
    </row>
    <row r="626" spans="17:36" s="11" customFormat="1" ht="24" customHeight="1">
      <c r="Q626" s="72">
        <f t="shared" si="258"/>
        <v>0</v>
      </c>
      <c r="R626" s="67" t="s">
        <v>30</v>
      </c>
      <c r="S626" s="28">
        <v>0</v>
      </c>
      <c r="T626" s="67">
        <f t="shared" si="259"/>
        <v>0</v>
      </c>
      <c r="U626" s="67">
        <f t="shared" si="260"/>
        <v>0</v>
      </c>
    </row>
    <row r="627" spans="17:36" s="11" customFormat="1" ht="24" customHeight="1">
      <c r="Q627" s="72">
        <f t="shared" si="258"/>
        <v>0</v>
      </c>
      <c r="R627" s="67" t="s">
        <v>30</v>
      </c>
      <c r="S627" s="28">
        <v>0</v>
      </c>
      <c r="T627" s="67">
        <f t="shared" si="259"/>
        <v>0</v>
      </c>
      <c r="U627" s="67">
        <f t="shared" si="260"/>
        <v>0</v>
      </c>
      <c r="V627" s="119"/>
      <c r="W627" s="120"/>
      <c r="X627" s="115"/>
      <c r="Y627" s="33"/>
      <c r="Z627" s="33"/>
      <c r="AA627" s="18"/>
      <c r="AB627" s="18"/>
      <c r="AC627" s="33"/>
      <c r="AD627" s="34"/>
      <c r="AE627" s="35"/>
      <c r="AF627" s="13"/>
      <c r="AG627" s="13"/>
      <c r="AH627" s="14"/>
      <c r="AI627" s="19"/>
      <c r="AJ627" s="13"/>
    </row>
    <row r="628" spans="17:36" s="11" customFormat="1" ht="24" customHeight="1">
      <c r="Q628" s="72">
        <f t="shared" si="258"/>
        <v>0</v>
      </c>
      <c r="R628" s="67" t="s">
        <v>30</v>
      </c>
      <c r="S628" s="28">
        <v>0</v>
      </c>
      <c r="T628" s="67">
        <f t="shared" si="259"/>
        <v>0</v>
      </c>
      <c r="U628" s="67">
        <f t="shared" si="260"/>
        <v>0</v>
      </c>
      <c r="V628" s="119"/>
      <c r="W628" s="120"/>
      <c r="X628" s="115"/>
      <c r="Y628" s="33"/>
      <c r="Z628" s="33"/>
      <c r="AA628" s="18"/>
      <c r="AB628" s="18"/>
      <c r="AC628" s="33"/>
      <c r="AD628" s="34"/>
      <c r="AE628" s="35"/>
      <c r="AF628" s="13"/>
      <c r="AG628" s="13"/>
      <c r="AH628" s="14"/>
      <c r="AI628" s="19"/>
      <c r="AJ628" s="13"/>
    </row>
    <row r="629" spans="17:36" s="11" customFormat="1" ht="24" customHeight="1">
      <c r="Q629" s="72">
        <f t="shared" si="258"/>
        <v>0</v>
      </c>
      <c r="R629" s="67" t="s">
        <v>30</v>
      </c>
      <c r="S629" s="28">
        <v>0</v>
      </c>
      <c r="T629" s="67">
        <f t="shared" si="259"/>
        <v>0</v>
      </c>
      <c r="U629" s="67">
        <f t="shared" si="260"/>
        <v>0</v>
      </c>
      <c r="V629" s="119"/>
      <c r="W629" s="120"/>
      <c r="X629" s="115"/>
      <c r="Y629" s="33"/>
      <c r="Z629" s="33"/>
      <c r="AA629" s="18"/>
      <c r="AB629" s="18"/>
      <c r="AC629" s="33"/>
      <c r="AD629" s="34"/>
      <c r="AE629" s="35"/>
      <c r="AF629" s="13"/>
      <c r="AG629" s="13"/>
      <c r="AH629" s="14"/>
      <c r="AI629" s="19"/>
      <c r="AJ629" s="13"/>
    </row>
    <row r="630" spans="17:36" s="11" customFormat="1" ht="24" customHeight="1">
      <c r="Q630" s="72">
        <f t="shared" si="258"/>
        <v>0</v>
      </c>
      <c r="R630" s="67" t="s">
        <v>30</v>
      </c>
      <c r="S630" s="28">
        <v>0</v>
      </c>
      <c r="T630" s="67">
        <f t="shared" ref="T630:T638" si="261">M630*S630</f>
        <v>0</v>
      </c>
      <c r="U630" s="67">
        <f t="shared" ref="U630:U638" si="262">P630-S630</f>
        <v>0</v>
      </c>
      <c r="V630" s="1"/>
      <c r="W630" s="120"/>
      <c r="X630" s="115"/>
      <c r="Y630" s="33"/>
      <c r="Z630" s="33"/>
      <c r="AA630" s="18"/>
      <c r="AB630" s="18"/>
      <c r="AC630" s="33"/>
      <c r="AD630" s="34"/>
      <c r="AE630" s="35"/>
      <c r="AF630" s="13"/>
      <c r="AG630" s="13"/>
      <c r="AH630" s="14"/>
      <c r="AI630" s="19"/>
      <c r="AJ630" s="13"/>
    </row>
    <row r="631" spans="17:36" s="11" customFormat="1" ht="24" customHeight="1">
      <c r="Q631" s="72">
        <f t="shared" si="258"/>
        <v>0</v>
      </c>
      <c r="R631" s="67" t="s">
        <v>30</v>
      </c>
      <c r="S631" s="28">
        <v>0</v>
      </c>
      <c r="T631" s="67">
        <f t="shared" si="261"/>
        <v>0</v>
      </c>
      <c r="U631" s="67">
        <f t="shared" si="262"/>
        <v>0</v>
      </c>
      <c r="V631" s="1"/>
      <c r="W631" s="120"/>
      <c r="X631" s="115"/>
      <c r="Y631" s="33"/>
      <c r="Z631" s="33"/>
      <c r="AA631" s="18"/>
      <c r="AB631" s="18"/>
      <c r="AC631" s="33"/>
      <c r="AD631" s="34"/>
      <c r="AE631" s="35"/>
      <c r="AF631" s="13"/>
      <c r="AG631" s="13"/>
      <c r="AH631" s="14"/>
      <c r="AI631" s="19"/>
      <c r="AJ631" s="13"/>
    </row>
    <row r="632" spans="17:36" s="11" customFormat="1" ht="24" customHeight="1">
      <c r="Q632" s="72">
        <f t="shared" si="258"/>
        <v>0</v>
      </c>
      <c r="R632" s="67" t="s">
        <v>30</v>
      </c>
      <c r="S632" s="28">
        <v>0</v>
      </c>
      <c r="T632" s="67">
        <f t="shared" si="261"/>
        <v>0</v>
      </c>
      <c r="U632" s="67">
        <f t="shared" si="262"/>
        <v>0</v>
      </c>
      <c r="V632" s="1"/>
      <c r="W632" s="120"/>
      <c r="X632" s="115"/>
      <c r="Y632" s="33"/>
      <c r="Z632" s="33"/>
      <c r="AA632" s="18"/>
      <c r="AB632" s="18"/>
      <c r="AC632" s="33"/>
      <c r="AD632" s="34"/>
      <c r="AE632" s="35"/>
      <c r="AF632" s="13"/>
      <c r="AG632" s="13"/>
      <c r="AH632" s="14"/>
      <c r="AI632" s="19"/>
      <c r="AJ632" s="13"/>
    </row>
    <row r="633" spans="17:36" s="11" customFormat="1" ht="24" customHeight="1">
      <c r="Q633" s="72">
        <f t="shared" si="258"/>
        <v>0</v>
      </c>
      <c r="R633" s="67" t="s">
        <v>30</v>
      </c>
      <c r="S633" s="28">
        <v>0</v>
      </c>
      <c r="T633" s="67">
        <f t="shared" si="261"/>
        <v>0</v>
      </c>
      <c r="U633" s="67">
        <f t="shared" si="262"/>
        <v>0</v>
      </c>
      <c r="V633" s="1"/>
      <c r="W633" s="120"/>
      <c r="X633" s="115"/>
      <c r="Y633" s="73"/>
      <c r="Z633" s="73"/>
      <c r="AA633" s="18"/>
      <c r="AB633" s="18"/>
      <c r="AC633" s="33"/>
      <c r="AD633" s="34"/>
      <c r="AE633" s="35"/>
      <c r="AF633" s="13"/>
      <c r="AG633" s="74"/>
      <c r="AH633" s="14"/>
      <c r="AI633" s="19"/>
      <c r="AJ633" s="13"/>
    </row>
    <row r="634" spans="17:36" s="11" customFormat="1" ht="24" customHeight="1">
      <c r="Q634" s="72">
        <f t="shared" si="258"/>
        <v>0</v>
      </c>
      <c r="R634" s="67" t="s">
        <v>30</v>
      </c>
      <c r="S634" s="28">
        <v>0</v>
      </c>
      <c r="T634" s="67">
        <f t="shared" si="261"/>
        <v>0</v>
      </c>
      <c r="U634" s="67">
        <f t="shared" si="262"/>
        <v>0</v>
      </c>
      <c r="V634" s="1"/>
      <c r="W634" s="120"/>
      <c r="X634" s="115"/>
      <c r="Y634" s="73"/>
      <c r="Z634" s="73"/>
      <c r="AA634" s="55"/>
      <c r="AB634" s="55"/>
      <c r="AC634" s="33"/>
      <c r="AD634" s="34"/>
      <c r="AE634" s="35"/>
      <c r="AF634" s="13"/>
      <c r="AG634" s="13"/>
      <c r="AH634" s="14"/>
      <c r="AI634" s="19"/>
      <c r="AJ634" s="13"/>
    </row>
    <row r="635" spans="17:36" s="11" customFormat="1" ht="24" customHeight="1">
      <c r="Q635" s="72">
        <f t="shared" si="258"/>
        <v>0</v>
      </c>
      <c r="R635" s="67" t="s">
        <v>30</v>
      </c>
      <c r="S635" s="28">
        <v>0</v>
      </c>
      <c r="T635" s="67">
        <f t="shared" si="261"/>
        <v>0</v>
      </c>
      <c r="U635" s="67">
        <f t="shared" si="262"/>
        <v>0</v>
      </c>
      <c r="V635" s="1"/>
      <c r="W635" s="120"/>
      <c r="X635" s="115"/>
      <c r="Y635" s="73"/>
      <c r="Z635" s="73"/>
      <c r="AA635" s="55"/>
      <c r="AB635" s="55"/>
      <c r="AC635" s="33"/>
      <c r="AD635" s="34"/>
      <c r="AE635" s="35"/>
      <c r="AF635" s="13"/>
      <c r="AG635" s="13"/>
      <c r="AH635" s="14"/>
      <c r="AI635" s="19"/>
      <c r="AJ635" s="13"/>
    </row>
    <row r="636" spans="17:36" s="11" customFormat="1" ht="24" customHeight="1">
      <c r="Q636" s="72">
        <f t="shared" si="258"/>
        <v>0</v>
      </c>
      <c r="R636" s="67" t="s">
        <v>30</v>
      </c>
      <c r="S636" s="28">
        <v>0</v>
      </c>
      <c r="T636" s="67">
        <f t="shared" si="261"/>
        <v>0</v>
      </c>
      <c r="U636" s="67">
        <f t="shared" si="262"/>
        <v>0</v>
      </c>
      <c r="V636" s="1"/>
      <c r="W636" s="120"/>
      <c r="X636" s="115"/>
      <c r="Y636" s="73"/>
      <c r="Z636" s="73"/>
      <c r="AA636" s="18"/>
      <c r="AB636" s="18"/>
      <c r="AC636" s="33"/>
      <c r="AD636" s="34"/>
      <c r="AE636" s="35"/>
      <c r="AF636" s="13"/>
      <c r="AG636" s="13"/>
      <c r="AH636" s="14"/>
      <c r="AI636" s="19"/>
      <c r="AJ636" s="13"/>
    </row>
    <row r="637" spans="17:36" s="11" customFormat="1" ht="24" customHeight="1">
      <c r="Q637" s="72">
        <f t="shared" si="258"/>
        <v>0</v>
      </c>
      <c r="R637" s="67" t="s">
        <v>30</v>
      </c>
      <c r="S637" s="28">
        <v>0</v>
      </c>
      <c r="T637" s="67">
        <f t="shared" si="261"/>
        <v>0</v>
      </c>
      <c r="U637" s="67">
        <f t="shared" si="262"/>
        <v>0</v>
      </c>
      <c r="V637" s="1"/>
      <c r="W637" s="120"/>
      <c r="X637" s="115"/>
      <c r="Y637" s="73"/>
      <c r="Z637" s="73"/>
      <c r="AA637" s="18"/>
      <c r="AB637" s="18"/>
      <c r="AC637" s="33"/>
      <c r="AD637" s="34"/>
      <c r="AE637" s="35"/>
      <c r="AF637" s="13"/>
      <c r="AG637" s="13"/>
      <c r="AH637" s="14"/>
      <c r="AI637" s="19"/>
      <c r="AJ637" s="13"/>
    </row>
    <row r="638" spans="17:36" s="11" customFormat="1" ht="24" customHeight="1">
      <c r="Q638" s="72">
        <f t="shared" si="258"/>
        <v>0</v>
      </c>
      <c r="R638" s="67" t="s">
        <v>30</v>
      </c>
      <c r="S638" s="28">
        <v>0</v>
      </c>
      <c r="T638" s="67">
        <f t="shared" si="261"/>
        <v>0</v>
      </c>
      <c r="U638" s="67">
        <f t="shared" si="262"/>
        <v>0</v>
      </c>
      <c r="V638" s="1"/>
      <c r="W638" s="120"/>
      <c r="X638" s="115"/>
      <c r="Y638" s="73"/>
      <c r="Z638" s="73"/>
      <c r="AA638" s="18"/>
      <c r="AB638" s="18"/>
      <c r="AC638" s="33"/>
      <c r="AD638" s="34"/>
      <c r="AE638" s="35"/>
      <c r="AF638" s="13"/>
      <c r="AG638" s="13"/>
      <c r="AH638" s="14"/>
      <c r="AI638" s="19"/>
      <c r="AJ638" s="13"/>
    </row>
    <row r="639" spans="17:36" s="11" customFormat="1" ht="24" customHeight="1">
      <c r="Q639" s="72">
        <f t="shared" si="258"/>
        <v>0</v>
      </c>
      <c r="R639" s="67" t="s">
        <v>30</v>
      </c>
      <c r="S639" s="28">
        <v>0</v>
      </c>
      <c r="T639" s="67">
        <f t="shared" ref="T639:T647" si="263">M639*S639</f>
        <v>0</v>
      </c>
      <c r="U639" s="67">
        <f t="shared" ref="U639:U647" si="264">P639-S639</f>
        <v>0</v>
      </c>
      <c r="V639" s="1"/>
      <c r="W639" s="120"/>
      <c r="X639" s="115"/>
      <c r="Y639" s="73"/>
      <c r="Z639" s="73"/>
      <c r="AA639" s="18"/>
      <c r="AB639" s="18"/>
      <c r="AC639" s="33"/>
      <c r="AD639" s="34"/>
      <c r="AE639" s="35"/>
      <c r="AF639" s="13"/>
      <c r="AG639" s="13"/>
      <c r="AH639" s="14"/>
      <c r="AI639" s="19"/>
      <c r="AJ639" s="13"/>
    </row>
    <row r="640" spans="17:36" s="11" customFormat="1" ht="24" customHeight="1">
      <c r="Q640" s="72">
        <f t="shared" si="258"/>
        <v>0</v>
      </c>
      <c r="R640" s="67" t="s">
        <v>30</v>
      </c>
      <c r="S640" s="28">
        <v>0</v>
      </c>
      <c r="T640" s="67">
        <f t="shared" si="263"/>
        <v>0</v>
      </c>
      <c r="U640" s="67">
        <f t="shared" si="264"/>
        <v>0</v>
      </c>
      <c r="V640" s="1"/>
      <c r="W640" s="120"/>
      <c r="X640" s="115"/>
      <c r="Y640" s="73"/>
      <c r="Z640" s="73"/>
      <c r="AA640" s="18"/>
      <c r="AB640" s="18"/>
      <c r="AC640" s="33"/>
      <c r="AD640" s="34"/>
      <c r="AE640" s="35"/>
      <c r="AF640" s="13"/>
      <c r="AG640" s="13"/>
      <c r="AH640" s="14"/>
      <c r="AI640" s="19"/>
      <c r="AJ640" s="13"/>
    </row>
    <row r="641" spans="17:36" s="11" customFormat="1" ht="24" customHeight="1">
      <c r="Q641" s="1">
        <f t="shared" si="258"/>
        <v>0</v>
      </c>
      <c r="R641" s="23" t="s">
        <v>30</v>
      </c>
      <c r="S641" s="28">
        <v>0</v>
      </c>
      <c r="T641" s="1">
        <f t="shared" si="263"/>
        <v>0</v>
      </c>
      <c r="U641" s="1">
        <f t="shared" si="264"/>
        <v>0</v>
      </c>
      <c r="V641" s="13"/>
      <c r="W641" s="75"/>
      <c r="X641" s="21"/>
      <c r="Y641" s="73"/>
      <c r="Z641" s="73"/>
      <c r="AA641" s="18"/>
      <c r="AB641" s="73"/>
      <c r="AC641" s="33"/>
      <c r="AD641" s="34"/>
      <c r="AE641" s="35"/>
      <c r="AF641" s="13"/>
      <c r="AG641" s="13"/>
      <c r="AH641" s="14"/>
      <c r="AI641" s="19"/>
      <c r="AJ641" s="20" t="s">
        <v>32</v>
      </c>
    </row>
    <row r="642" spans="17:36" s="11" customFormat="1" ht="24" customHeight="1">
      <c r="Q642" s="1">
        <f t="shared" si="258"/>
        <v>0</v>
      </c>
      <c r="R642" s="23" t="s">
        <v>30</v>
      </c>
      <c r="S642" s="28">
        <v>0</v>
      </c>
      <c r="T642" s="1">
        <f t="shared" si="263"/>
        <v>0</v>
      </c>
      <c r="U642" s="1">
        <f t="shared" si="264"/>
        <v>0</v>
      </c>
      <c r="V642" s="13"/>
      <c r="W642" s="75"/>
      <c r="X642" s="21"/>
      <c r="Y642" s="73"/>
      <c r="Z642" s="73"/>
      <c r="AA642" s="18"/>
      <c r="AB642" s="73"/>
      <c r="AC642" s="33"/>
      <c r="AD642" s="34"/>
      <c r="AE642" s="35"/>
      <c r="AF642" s="13"/>
      <c r="AG642" s="13"/>
      <c r="AH642" s="14"/>
      <c r="AI642" s="19"/>
      <c r="AJ642" s="20" t="s">
        <v>32</v>
      </c>
    </row>
    <row r="643" spans="17:36" s="11" customFormat="1" ht="24" customHeight="1">
      <c r="Q643" s="1">
        <f t="shared" si="258"/>
        <v>0</v>
      </c>
      <c r="R643" s="23" t="s">
        <v>30</v>
      </c>
      <c r="S643" s="28">
        <v>0</v>
      </c>
      <c r="T643" s="1">
        <f t="shared" si="263"/>
        <v>0</v>
      </c>
      <c r="U643" s="1">
        <f t="shared" si="264"/>
        <v>0</v>
      </c>
      <c r="V643" s="13"/>
      <c r="W643" s="75"/>
      <c r="X643" s="21"/>
      <c r="Y643" s="73"/>
      <c r="Z643" s="73"/>
      <c r="AA643" s="18"/>
      <c r="AB643" s="73"/>
      <c r="AC643" s="33"/>
      <c r="AD643" s="34"/>
      <c r="AE643" s="35"/>
      <c r="AF643" s="13"/>
      <c r="AG643" s="13"/>
      <c r="AH643" s="14"/>
      <c r="AI643" s="19"/>
      <c r="AJ643" s="20" t="s">
        <v>32</v>
      </c>
    </row>
    <row r="644" spans="17:36" s="11" customFormat="1" ht="24" customHeight="1">
      <c r="Q644" s="1">
        <f t="shared" si="258"/>
        <v>0</v>
      </c>
      <c r="R644" s="23" t="s">
        <v>30</v>
      </c>
      <c r="S644" s="28">
        <v>0</v>
      </c>
      <c r="T644" s="1">
        <f t="shared" si="263"/>
        <v>0</v>
      </c>
      <c r="U644" s="1">
        <f t="shared" si="264"/>
        <v>0</v>
      </c>
      <c r="V644" s="13"/>
      <c r="W644" s="75"/>
      <c r="X644" s="115"/>
      <c r="Y644" s="73"/>
      <c r="Z644" s="73"/>
      <c r="AA644" s="18"/>
      <c r="AB644" s="18"/>
      <c r="AC644" s="33"/>
      <c r="AD644" s="34"/>
      <c r="AE644" s="35"/>
      <c r="AF644" s="13"/>
      <c r="AG644" s="13"/>
      <c r="AH644" s="14"/>
      <c r="AI644" s="19"/>
      <c r="AJ644" s="13"/>
    </row>
    <row r="645" spans="17:36" s="11" customFormat="1" ht="24" customHeight="1">
      <c r="Q645" s="1">
        <f t="shared" si="258"/>
        <v>0</v>
      </c>
      <c r="R645" s="23" t="s">
        <v>30</v>
      </c>
      <c r="S645" s="28">
        <v>0</v>
      </c>
      <c r="T645" s="1">
        <f t="shared" si="263"/>
        <v>0</v>
      </c>
      <c r="U645" s="1">
        <f t="shared" si="264"/>
        <v>0</v>
      </c>
      <c r="V645" s="13"/>
      <c r="W645" s="75"/>
      <c r="X645" s="21"/>
      <c r="Y645" s="73"/>
      <c r="Z645" s="73"/>
      <c r="AA645" s="18"/>
      <c r="AB645" s="73"/>
      <c r="AC645" s="56"/>
      <c r="AD645" s="34"/>
      <c r="AE645" s="35"/>
      <c r="AF645" s="13"/>
      <c r="AG645" s="13"/>
      <c r="AH645" s="14"/>
      <c r="AI645" s="19"/>
      <c r="AJ645" s="20" t="s">
        <v>32</v>
      </c>
    </row>
    <row r="646" spans="17:36" s="7" customFormat="1" ht="24" customHeight="1">
      <c r="Q646" s="1">
        <f t="shared" si="258"/>
        <v>0</v>
      </c>
      <c r="R646" s="67" t="s">
        <v>30</v>
      </c>
      <c r="S646" s="28">
        <v>0</v>
      </c>
      <c r="T646" s="1">
        <f t="shared" si="263"/>
        <v>0</v>
      </c>
      <c r="U646" s="1">
        <f t="shared" si="264"/>
        <v>0</v>
      </c>
      <c r="V646" s="77"/>
      <c r="W646" s="78"/>
      <c r="X646" s="85"/>
      <c r="Y646" s="79"/>
      <c r="Z646" s="79"/>
      <c r="AA646" s="80"/>
      <c r="AB646" s="79"/>
      <c r="AC646" s="81"/>
      <c r="AD646" s="82"/>
      <c r="AE646" s="65"/>
      <c r="AF646" s="77"/>
      <c r="AG646" s="77"/>
      <c r="AH646" s="83"/>
      <c r="AI646" s="84"/>
      <c r="AJ646" s="47" t="s">
        <v>32</v>
      </c>
    </row>
    <row r="647" spans="17:36" s="11" customFormat="1" ht="24" customHeight="1">
      <c r="Q647" s="16">
        <f t="shared" si="258"/>
        <v>0</v>
      </c>
      <c r="R647" s="23" t="s">
        <v>30</v>
      </c>
      <c r="S647" s="28">
        <v>0</v>
      </c>
      <c r="T647" s="17">
        <f t="shared" si="263"/>
        <v>0</v>
      </c>
      <c r="U647" s="17">
        <f t="shared" si="264"/>
        <v>0</v>
      </c>
      <c r="V647" s="13"/>
      <c r="W647" s="30"/>
      <c r="X647" s="21"/>
      <c r="Y647" s="32"/>
      <c r="Z647" s="32"/>
      <c r="AA647" s="55"/>
      <c r="AB647" s="32"/>
      <c r="AC647" s="33"/>
      <c r="AD647" s="34"/>
      <c r="AE647" s="35"/>
      <c r="AF647" s="13"/>
      <c r="AG647" s="13"/>
      <c r="AH647" s="14"/>
      <c r="AI647" s="19"/>
      <c r="AJ647" s="20" t="s">
        <v>32</v>
      </c>
    </row>
    <row r="648" spans="17:36" s="11" customFormat="1" ht="24" customHeight="1">
      <c r="Q648" s="16">
        <f t="shared" si="258"/>
        <v>0</v>
      </c>
      <c r="R648" s="23" t="s">
        <v>30</v>
      </c>
      <c r="S648" s="28">
        <v>0</v>
      </c>
      <c r="T648" s="17">
        <f>M648*S648</f>
        <v>0</v>
      </c>
      <c r="U648" s="17">
        <f>P648-S648</f>
        <v>0</v>
      </c>
      <c r="V648" s="13"/>
      <c r="W648" s="30"/>
      <c r="X648" s="21"/>
      <c r="Y648" s="32"/>
      <c r="Z648" s="32"/>
      <c r="AA648" s="55"/>
      <c r="AB648" s="32"/>
      <c r="AC648" s="33"/>
      <c r="AD648" s="34"/>
      <c r="AE648" s="35"/>
      <c r="AF648" s="13"/>
      <c r="AG648" s="13"/>
      <c r="AH648" s="14"/>
      <c r="AI648" s="19"/>
      <c r="AJ648" s="20" t="s">
        <v>32</v>
      </c>
    </row>
    <row r="649" spans="17:36" s="11" customFormat="1" ht="24" customHeight="1">
      <c r="Q649" s="86"/>
      <c r="R649" s="86"/>
      <c r="S649" s="28">
        <v>0</v>
      </c>
      <c r="T649" s="87"/>
      <c r="U649" s="87"/>
      <c r="V649" s="88"/>
      <c r="W649" s="89"/>
      <c r="X649" s="88"/>
      <c r="Y649" s="90"/>
      <c r="Z649" s="90"/>
      <c r="AA649" s="91"/>
      <c r="AB649" s="91"/>
      <c r="AC649" s="92"/>
      <c r="AD649" s="93"/>
      <c r="AE649" s="94"/>
      <c r="AF649" s="88"/>
      <c r="AG649" s="88"/>
      <c r="AH649" s="95"/>
      <c r="AI649" s="96"/>
      <c r="AJ649" s="88"/>
    </row>
    <row r="650" spans="17:36" s="11" customFormat="1" ht="24" customHeight="1">
      <c r="Q650" s="16"/>
      <c r="R650" s="16"/>
      <c r="S650" s="28">
        <v>0</v>
      </c>
      <c r="T650" s="17"/>
      <c r="U650" s="17"/>
      <c r="V650" s="13"/>
      <c r="W650" s="31"/>
      <c r="X650" s="13"/>
      <c r="Y650" s="70"/>
      <c r="Z650" s="36"/>
      <c r="AA650" s="18"/>
      <c r="AB650" s="18"/>
      <c r="AC650" s="33"/>
      <c r="AD650" s="34"/>
      <c r="AE650" s="35"/>
      <c r="AF650" s="13"/>
      <c r="AG650" s="13"/>
      <c r="AH650" s="14"/>
      <c r="AI650" s="19"/>
      <c r="AJ650" s="13"/>
    </row>
    <row r="651" spans="17:36" s="11" customFormat="1" ht="24" customHeight="1">
      <c r="Q651" s="16"/>
      <c r="R651" s="16"/>
      <c r="S651" s="28">
        <v>0</v>
      </c>
      <c r="T651" s="17"/>
      <c r="U651" s="17"/>
      <c r="V651" s="13"/>
      <c r="W651" s="31"/>
      <c r="X651" s="13"/>
      <c r="Y651" s="70"/>
      <c r="Z651" s="36"/>
      <c r="AA651" s="18"/>
      <c r="AB651" s="18"/>
      <c r="AC651" s="33"/>
      <c r="AD651" s="34"/>
      <c r="AE651" s="35"/>
      <c r="AF651" s="13"/>
      <c r="AG651" s="13"/>
      <c r="AH651" s="14"/>
      <c r="AI651" s="19"/>
      <c r="AJ651" s="13"/>
    </row>
    <row r="652" spans="17:36" s="11" customFormat="1" ht="24" customHeight="1">
      <c r="Q652" s="16"/>
      <c r="R652" s="16"/>
      <c r="S652" s="28">
        <v>0</v>
      </c>
      <c r="T652" s="17"/>
      <c r="U652" s="17"/>
      <c r="V652" s="13"/>
      <c r="W652" s="31"/>
      <c r="X652" s="13"/>
      <c r="Y652" s="70"/>
      <c r="Z652" s="36"/>
      <c r="AA652" s="18"/>
      <c r="AB652" s="18"/>
      <c r="AC652" s="33"/>
      <c r="AD652" s="34"/>
      <c r="AE652" s="35"/>
      <c r="AF652" s="13"/>
      <c r="AG652" s="13"/>
      <c r="AH652" s="14"/>
      <c r="AI652" s="19"/>
      <c r="AJ652" s="13"/>
    </row>
    <row r="653" spans="17:36" s="11" customFormat="1" ht="24" customHeight="1">
      <c r="Q653" s="28">
        <f t="shared" ref="Q653:Q658" si="265">M653*P653</f>
        <v>0</v>
      </c>
      <c r="R653" s="28" t="s">
        <v>30</v>
      </c>
      <c r="S653" s="28">
        <v>0</v>
      </c>
      <c r="T653" s="23">
        <f t="shared" ref="T653:T662" si="266">M653*S653</f>
        <v>0</v>
      </c>
      <c r="U653" s="23">
        <f t="shared" ref="U653:U662" si="267">P653-S653</f>
        <v>0</v>
      </c>
      <c r="V653" s="13"/>
      <c r="W653" s="31"/>
      <c r="X653" s="13"/>
      <c r="Y653" s="70"/>
      <c r="Z653" s="36"/>
      <c r="AA653" s="18"/>
      <c r="AB653" s="70"/>
      <c r="AC653" s="70"/>
      <c r="AD653" s="32"/>
      <c r="AE653" s="35"/>
      <c r="AF653" s="13"/>
      <c r="AG653" s="13"/>
      <c r="AH653" s="14"/>
      <c r="AI653" s="19"/>
      <c r="AJ653" s="13"/>
    </row>
    <row r="654" spans="17:36" s="11" customFormat="1" ht="24" customHeight="1">
      <c r="Q654" s="28">
        <f t="shared" si="265"/>
        <v>0</v>
      </c>
      <c r="R654" s="16" t="s">
        <v>34</v>
      </c>
      <c r="S654" s="28">
        <v>0</v>
      </c>
      <c r="T654" s="23">
        <f t="shared" si="266"/>
        <v>0</v>
      </c>
      <c r="U654" s="23">
        <f t="shared" si="267"/>
        <v>0</v>
      </c>
      <c r="V654" s="13"/>
      <c r="W654" s="31"/>
      <c r="X654" s="13"/>
      <c r="Y654" s="70"/>
      <c r="Z654" s="36"/>
      <c r="AA654" s="18"/>
      <c r="AB654" s="18"/>
      <c r="AC654" s="33"/>
      <c r="AD654" s="34"/>
      <c r="AE654" s="35"/>
      <c r="AF654" s="13"/>
      <c r="AG654" s="13"/>
      <c r="AH654" s="14"/>
      <c r="AI654" s="19"/>
      <c r="AJ654" s="13"/>
    </row>
    <row r="655" spans="17:36" s="11" customFormat="1" ht="24" customHeight="1">
      <c r="Q655" s="16">
        <f t="shared" si="265"/>
        <v>0</v>
      </c>
      <c r="R655" s="23" t="s">
        <v>30</v>
      </c>
      <c r="S655" s="28">
        <v>0</v>
      </c>
      <c r="T655" s="17">
        <f t="shared" si="266"/>
        <v>0</v>
      </c>
      <c r="U655" s="17">
        <f t="shared" si="267"/>
        <v>0</v>
      </c>
      <c r="V655" s="13"/>
      <c r="W655" s="31"/>
      <c r="X655" s="13"/>
      <c r="Y655" s="34"/>
      <c r="Z655" s="36"/>
      <c r="AA655" s="18"/>
      <c r="AB655" s="34"/>
      <c r="AC655" s="33"/>
      <c r="AD655" s="33"/>
      <c r="AE655" s="33"/>
      <c r="AF655" s="13"/>
      <c r="AG655" s="13"/>
      <c r="AH655" s="14"/>
      <c r="AI655" s="19"/>
      <c r="AJ655" s="13"/>
    </row>
    <row r="656" spans="17:36" s="11" customFormat="1" ht="24" customHeight="1">
      <c r="Q656" s="16">
        <f t="shared" si="265"/>
        <v>0</v>
      </c>
      <c r="R656" s="23" t="s">
        <v>30</v>
      </c>
      <c r="S656" s="28">
        <v>0</v>
      </c>
      <c r="T656" s="17">
        <f t="shared" si="266"/>
        <v>0</v>
      </c>
      <c r="U656" s="17">
        <f t="shared" si="267"/>
        <v>0</v>
      </c>
      <c r="V656" s="13"/>
      <c r="W656" s="31"/>
      <c r="X656" s="13"/>
      <c r="Y656" s="34"/>
      <c r="Z656" s="36"/>
      <c r="AA656" s="18"/>
      <c r="AB656" s="34"/>
      <c r="AC656" s="33"/>
      <c r="AD656" s="33"/>
      <c r="AE656" s="33"/>
      <c r="AF656" s="13"/>
      <c r="AG656" s="13"/>
      <c r="AH656" s="14"/>
      <c r="AI656" s="19"/>
      <c r="AJ656" s="13"/>
    </row>
    <row r="657" spans="17:36" s="11" customFormat="1" ht="24" customHeight="1">
      <c r="Q657" s="16">
        <f t="shared" si="265"/>
        <v>0</v>
      </c>
      <c r="R657" s="23" t="s">
        <v>30</v>
      </c>
      <c r="S657" s="28">
        <v>0</v>
      </c>
      <c r="T657" s="17">
        <f t="shared" si="266"/>
        <v>0</v>
      </c>
      <c r="U657" s="17">
        <f t="shared" si="267"/>
        <v>0</v>
      </c>
      <c r="V657" s="13"/>
      <c r="W657" s="31"/>
      <c r="X657" s="13"/>
      <c r="Y657" s="34"/>
      <c r="Z657" s="36"/>
      <c r="AA657" s="18"/>
      <c r="AB657" s="34"/>
      <c r="AC657" s="33"/>
      <c r="AD657" s="33"/>
      <c r="AE657" s="33"/>
      <c r="AF657" s="13"/>
      <c r="AG657" s="13"/>
      <c r="AH657" s="14"/>
      <c r="AI657" s="19"/>
      <c r="AJ657" s="13"/>
    </row>
    <row r="658" spans="17:36" s="11" customFormat="1" ht="24" customHeight="1">
      <c r="Q658" s="16">
        <f t="shared" si="265"/>
        <v>0</v>
      </c>
      <c r="R658" s="23" t="s">
        <v>30</v>
      </c>
      <c r="S658" s="28">
        <v>0</v>
      </c>
      <c r="T658" s="17">
        <f t="shared" si="266"/>
        <v>0</v>
      </c>
      <c r="U658" s="17">
        <f t="shared" si="267"/>
        <v>0</v>
      </c>
      <c r="V658" s="13"/>
      <c r="W658" s="31"/>
      <c r="X658" s="13"/>
      <c r="Y658" s="34"/>
      <c r="Z658" s="36"/>
      <c r="AA658" s="18"/>
      <c r="AB658" s="34"/>
      <c r="AC658" s="33"/>
      <c r="AD658" s="33"/>
      <c r="AE658" s="33"/>
      <c r="AF658" s="13"/>
      <c r="AG658" s="13"/>
      <c r="AH658" s="14"/>
      <c r="AI658" s="19"/>
      <c r="AJ658" s="13"/>
    </row>
    <row r="659" spans="17:36" s="12" customFormat="1" ht="24" customHeight="1">
      <c r="Q659" s="28"/>
      <c r="R659" s="23" t="s">
        <v>30</v>
      </c>
      <c r="S659" s="28">
        <v>0</v>
      </c>
      <c r="T659" s="17">
        <f t="shared" si="266"/>
        <v>0</v>
      </c>
      <c r="U659" s="17">
        <f t="shared" si="267"/>
        <v>0</v>
      </c>
      <c r="V659" s="13"/>
      <c r="W659" s="31"/>
      <c r="X659" s="13"/>
      <c r="Y659" s="34"/>
      <c r="Z659" s="36"/>
      <c r="AA659" s="18"/>
      <c r="AB659" s="34"/>
      <c r="AC659" s="33"/>
      <c r="AD659" s="33"/>
      <c r="AE659" s="33"/>
    </row>
    <row r="660" spans="17:36" s="12" customFormat="1" ht="24" customHeight="1">
      <c r="Q660" s="28"/>
      <c r="R660" s="23" t="s">
        <v>30</v>
      </c>
      <c r="S660" s="28">
        <v>0</v>
      </c>
      <c r="T660" s="17">
        <f t="shared" si="266"/>
        <v>0</v>
      </c>
      <c r="U660" s="17">
        <f t="shared" si="267"/>
        <v>0</v>
      </c>
      <c r="V660" s="13"/>
      <c r="W660" s="31"/>
      <c r="X660" s="13"/>
      <c r="Y660" s="34"/>
      <c r="Z660" s="36"/>
      <c r="AA660" s="18"/>
      <c r="AB660" s="34"/>
      <c r="AC660" s="33"/>
      <c r="AD660" s="33"/>
      <c r="AE660" s="33"/>
    </row>
    <row r="661" spans="17:36" s="12" customFormat="1" ht="24" customHeight="1">
      <c r="Q661" s="28"/>
      <c r="R661" s="23" t="s">
        <v>30</v>
      </c>
      <c r="S661" s="28">
        <v>0</v>
      </c>
      <c r="T661" s="17">
        <f t="shared" si="266"/>
        <v>0</v>
      </c>
      <c r="U661" s="17">
        <f t="shared" si="267"/>
        <v>0</v>
      </c>
      <c r="V661" s="13"/>
      <c r="W661" s="31"/>
      <c r="X661" s="13"/>
      <c r="Y661" s="34"/>
      <c r="Z661" s="36"/>
      <c r="AA661" s="18"/>
      <c r="AB661" s="34"/>
      <c r="AC661" s="33"/>
      <c r="AD661" s="33"/>
      <c r="AE661" s="33"/>
    </row>
    <row r="662" spans="17:36" s="12" customFormat="1" ht="24" customHeight="1">
      <c r="Q662" s="121"/>
      <c r="R662" s="98" t="s">
        <v>30</v>
      </c>
      <c r="S662" s="28">
        <v>0</v>
      </c>
      <c r="T662" s="99">
        <f t="shared" si="266"/>
        <v>0</v>
      </c>
      <c r="U662" s="99">
        <f t="shared" si="267"/>
        <v>0</v>
      </c>
      <c r="V662" s="100"/>
      <c r="W662" s="101"/>
      <c r="X662" s="100"/>
      <c r="Y662" s="102"/>
      <c r="Z662" s="103"/>
      <c r="AA662" s="104"/>
      <c r="AB662" s="102"/>
      <c r="AC662" s="122"/>
      <c r="AD662" s="122"/>
      <c r="AE662" s="122"/>
    </row>
    <row r="663" spans="17:36" s="49" customFormat="1" ht="24" customHeight="1">
      <c r="Q663" s="28"/>
      <c r="R663" s="28"/>
      <c r="S663" s="28">
        <v>0</v>
      </c>
      <c r="T663" s="23"/>
      <c r="U663" s="23"/>
      <c r="V663" s="13"/>
      <c r="W663" s="31"/>
      <c r="X663" s="13"/>
      <c r="Y663" s="123"/>
      <c r="Z663" s="36"/>
      <c r="AA663" s="18"/>
      <c r="AB663" s="18"/>
      <c r="AC663" s="33"/>
      <c r="AD663" s="33"/>
      <c r="AE663" s="33"/>
    </row>
    <row r="664" spans="17:36" s="49" customFormat="1" ht="24" customHeight="1">
      <c r="Q664" s="28"/>
      <c r="R664" s="28"/>
      <c r="S664" s="28">
        <v>0</v>
      </c>
      <c r="T664" s="23"/>
      <c r="U664" s="23"/>
      <c r="V664" s="13"/>
      <c r="W664" s="31"/>
      <c r="X664" s="13"/>
      <c r="Y664" s="31"/>
      <c r="Z664" s="36"/>
      <c r="AA664" s="18"/>
      <c r="AB664" s="31"/>
      <c r="AC664" s="33"/>
      <c r="AD664" s="33"/>
      <c r="AE664" s="33"/>
    </row>
    <row r="665" spans="17:36" s="49" customFormat="1" ht="24" customHeight="1">
      <c r="Q665" s="28"/>
      <c r="R665" s="28"/>
      <c r="S665" s="28">
        <v>0</v>
      </c>
      <c r="T665" s="23"/>
      <c r="U665" s="23"/>
      <c r="V665" s="13"/>
      <c r="W665" s="31"/>
      <c r="X665" s="13"/>
      <c r="Y665" s="31"/>
      <c r="Z665" s="36"/>
      <c r="AA665" s="18"/>
      <c r="AB665" s="31"/>
      <c r="AC665" s="33"/>
      <c r="AD665" s="33"/>
      <c r="AE665" s="33"/>
    </row>
    <row r="666" spans="17:36" s="49" customFormat="1" ht="24" customHeight="1">
      <c r="Q666" s="28"/>
      <c r="R666" s="28"/>
      <c r="S666" s="28">
        <v>0</v>
      </c>
      <c r="T666" s="23"/>
      <c r="U666" s="23"/>
      <c r="V666" s="13"/>
      <c r="W666" s="31"/>
      <c r="X666" s="13"/>
      <c r="Y666" s="31"/>
      <c r="Z666" s="36"/>
      <c r="AA666" s="18"/>
      <c r="AB666" s="31"/>
      <c r="AC666" s="33"/>
      <c r="AD666" s="33"/>
      <c r="AE666" s="33"/>
    </row>
    <row r="667" spans="17:36" s="49" customFormat="1" ht="24" customHeight="1">
      <c r="Q667" s="28"/>
      <c r="R667" s="28"/>
      <c r="S667" s="28">
        <v>0</v>
      </c>
      <c r="T667" s="23"/>
      <c r="U667" s="23"/>
      <c r="V667" s="13"/>
      <c r="W667" s="31"/>
      <c r="X667" s="13"/>
      <c r="Y667" s="31"/>
      <c r="Z667" s="36"/>
      <c r="AA667" s="18"/>
      <c r="AB667" s="31"/>
      <c r="AC667" s="33"/>
      <c r="AD667" s="33"/>
      <c r="AE667" s="33"/>
    </row>
    <row r="668" spans="17:36" s="12" customFormat="1" ht="24" customHeight="1">
      <c r="Q668" s="28"/>
      <c r="R668" s="28"/>
      <c r="S668" s="28">
        <v>0</v>
      </c>
      <c r="T668" s="23"/>
      <c r="U668" s="23"/>
      <c r="V668" s="13"/>
      <c r="W668" s="31"/>
      <c r="X668" s="13"/>
      <c r="Y668" s="123"/>
      <c r="Z668" s="36"/>
      <c r="AA668" s="18"/>
      <c r="AB668" s="18"/>
      <c r="AC668" s="33"/>
      <c r="AD668" s="33"/>
      <c r="AE668" s="33"/>
    </row>
    <row r="669" spans="17:36" s="12" customFormat="1" ht="24" customHeight="1">
      <c r="Q669" s="28"/>
      <c r="R669" s="28"/>
      <c r="S669" s="28">
        <v>0</v>
      </c>
      <c r="T669" s="23"/>
      <c r="U669" s="23"/>
      <c r="V669" s="13"/>
      <c r="W669" s="31"/>
      <c r="X669" s="13"/>
      <c r="Y669" s="123"/>
      <c r="Z669" s="36"/>
      <c r="AA669" s="18"/>
      <c r="AB669" s="18"/>
      <c r="AC669" s="33"/>
      <c r="AD669" s="33"/>
      <c r="AE669" s="33"/>
    </row>
    <row r="670" spans="17:36" s="12" customFormat="1" ht="24" customHeight="1">
      <c r="Q670" s="28"/>
      <c r="R670" s="28"/>
      <c r="S670" s="28">
        <v>0</v>
      </c>
      <c r="T670" s="23"/>
      <c r="U670" s="23"/>
      <c r="V670" s="13"/>
      <c r="W670" s="31"/>
      <c r="X670" s="13"/>
      <c r="Y670" s="123"/>
      <c r="Z670" s="36"/>
      <c r="AA670" s="18"/>
      <c r="AB670" s="18"/>
      <c r="AC670" s="33"/>
      <c r="AD670" s="33"/>
      <c r="AE670" s="33"/>
    </row>
    <row r="671" spans="17:36" s="12" customFormat="1" ht="24" customHeight="1">
      <c r="Q671" s="28"/>
      <c r="R671" s="28"/>
      <c r="S671" s="28">
        <v>0</v>
      </c>
      <c r="T671" s="23"/>
      <c r="U671" s="23"/>
      <c r="V671" s="13"/>
      <c r="W671" s="31"/>
      <c r="X671" s="13"/>
      <c r="Y671" s="123"/>
      <c r="Z671" s="36"/>
      <c r="AA671" s="18"/>
      <c r="AB671" s="18"/>
      <c r="AC671" s="33"/>
      <c r="AD671" s="33"/>
      <c r="AE671" s="33"/>
    </row>
    <row r="672" spans="17:36" s="12" customFormat="1" ht="24" customHeight="1">
      <c r="Q672" s="28"/>
      <c r="R672" s="28"/>
      <c r="S672" s="28">
        <v>0</v>
      </c>
      <c r="T672" s="16"/>
      <c r="U672" s="17"/>
      <c r="V672" s="13"/>
      <c r="W672" s="31"/>
      <c r="X672" s="13"/>
      <c r="Y672" s="123"/>
      <c r="Z672" s="36"/>
      <c r="AA672" s="18"/>
      <c r="AB672" s="18"/>
      <c r="AC672" s="33"/>
      <c r="AD672" s="33"/>
      <c r="AE672" s="33"/>
    </row>
    <row r="673" spans="17:31" s="12" customFormat="1" ht="24" customHeight="1">
      <c r="Q673" s="28"/>
      <c r="R673" s="28"/>
      <c r="S673" s="28">
        <v>0</v>
      </c>
      <c r="T673" s="16"/>
      <c r="U673" s="17"/>
      <c r="V673" s="13"/>
      <c r="W673" s="31"/>
      <c r="X673" s="13"/>
      <c r="Y673" s="123"/>
      <c r="Z673" s="36"/>
      <c r="AA673" s="18"/>
      <c r="AB673" s="18"/>
      <c r="AC673" s="33"/>
      <c r="AD673" s="33"/>
      <c r="AE673" s="33"/>
    </row>
    <row r="674" spans="17:31" s="12" customFormat="1" ht="24" customHeight="1">
      <c r="Q674" s="16"/>
      <c r="R674" s="16"/>
      <c r="S674" s="28">
        <v>0</v>
      </c>
      <c r="T674" s="17"/>
      <c r="U674" s="17"/>
      <c r="V674" s="13"/>
      <c r="W674" s="31"/>
      <c r="X674" s="13"/>
      <c r="Y674" s="123"/>
      <c r="Z674" s="36"/>
      <c r="AA674" s="18"/>
      <c r="AB674" s="18"/>
      <c r="AC674" s="33"/>
      <c r="AD674" s="34"/>
      <c r="AE674" s="35">
        <f t="shared" ref="AE674:AE691" si="268">AC674-AD674</f>
        <v>0</v>
      </c>
    </row>
    <row r="675" spans="17:31" s="12" customFormat="1" ht="24" customHeight="1">
      <c r="Q675" s="16"/>
      <c r="R675" s="16"/>
      <c r="S675" s="28">
        <v>0</v>
      </c>
      <c r="T675" s="17"/>
      <c r="U675" s="17"/>
      <c r="V675" s="13"/>
      <c r="W675" s="31"/>
      <c r="X675" s="13"/>
      <c r="Y675" s="123"/>
      <c r="Z675" s="36"/>
      <c r="AA675" s="18"/>
      <c r="AB675" s="18"/>
      <c r="AC675" s="33"/>
      <c r="AD675" s="34"/>
      <c r="AE675" s="35">
        <f t="shared" si="268"/>
        <v>0</v>
      </c>
    </row>
    <row r="676" spans="17:31" s="12" customFormat="1" ht="24" customHeight="1">
      <c r="Q676" s="16"/>
      <c r="R676" s="16"/>
      <c r="S676" s="28">
        <v>0</v>
      </c>
      <c r="T676" s="17"/>
      <c r="U676" s="17"/>
      <c r="V676" s="13"/>
      <c r="W676" s="31"/>
      <c r="X676" s="13"/>
      <c r="Y676" s="123"/>
      <c r="Z676" s="36"/>
      <c r="AA676" s="18"/>
      <c r="AB676" s="18"/>
      <c r="AC676" s="33"/>
      <c r="AD676" s="34"/>
      <c r="AE676" s="35">
        <f t="shared" si="268"/>
        <v>0</v>
      </c>
    </row>
    <row r="677" spans="17:31" s="12" customFormat="1" ht="24" customHeight="1">
      <c r="Q677" s="16"/>
      <c r="R677" s="16"/>
      <c r="S677" s="28">
        <v>0</v>
      </c>
      <c r="T677" s="17"/>
      <c r="U677" s="17"/>
      <c r="V677" s="13"/>
      <c r="W677" s="31"/>
      <c r="X677" s="13"/>
      <c r="Y677" s="123"/>
      <c r="Z677" s="36"/>
      <c r="AA677" s="18"/>
      <c r="AB677" s="18"/>
      <c r="AC677" s="33"/>
      <c r="AD677" s="34"/>
      <c r="AE677" s="35">
        <f t="shared" si="268"/>
        <v>0</v>
      </c>
    </row>
    <row r="678" spans="17:31" s="12" customFormat="1" ht="24" customHeight="1">
      <c r="Q678" s="16"/>
      <c r="R678" s="16"/>
      <c r="S678" s="28">
        <v>0</v>
      </c>
      <c r="T678" s="17"/>
      <c r="U678" s="17"/>
      <c r="V678" s="13"/>
      <c r="W678" s="31"/>
      <c r="X678" s="13"/>
      <c r="Y678" s="123"/>
      <c r="Z678" s="36"/>
      <c r="AA678" s="18"/>
      <c r="AB678" s="18"/>
      <c r="AC678" s="33"/>
      <c r="AD678" s="34"/>
      <c r="AE678" s="35">
        <f t="shared" si="268"/>
        <v>0</v>
      </c>
    </row>
    <row r="679" spans="17:31" s="12" customFormat="1" ht="24" customHeight="1">
      <c r="Q679" s="16"/>
      <c r="R679" s="16"/>
      <c r="S679" s="16"/>
      <c r="T679" s="17"/>
      <c r="U679" s="17"/>
      <c r="V679" s="13"/>
      <c r="W679" s="31"/>
      <c r="X679" s="13"/>
      <c r="Y679" s="123"/>
      <c r="Z679" s="36"/>
      <c r="AA679" s="18"/>
      <c r="AB679" s="18"/>
      <c r="AC679" s="33"/>
      <c r="AD679" s="34"/>
      <c r="AE679" s="35">
        <f t="shared" si="268"/>
        <v>0</v>
      </c>
    </row>
    <row r="680" spans="17:31" s="12" customFormat="1" ht="24" customHeight="1">
      <c r="Q680" s="16"/>
      <c r="R680" s="16"/>
      <c r="S680" s="16"/>
      <c r="T680" s="17"/>
      <c r="U680" s="17"/>
      <c r="V680" s="13"/>
      <c r="W680" s="31"/>
      <c r="X680" s="13"/>
      <c r="Y680" s="123"/>
      <c r="Z680" s="36"/>
      <c r="AA680" s="18"/>
      <c r="AB680" s="18"/>
      <c r="AC680" s="33"/>
      <c r="AD680" s="34"/>
      <c r="AE680" s="35">
        <f t="shared" si="268"/>
        <v>0</v>
      </c>
    </row>
    <row r="681" spans="17:31" s="12" customFormat="1" ht="24" customHeight="1">
      <c r="Q681" s="16"/>
      <c r="R681" s="16"/>
      <c r="S681" s="16"/>
      <c r="T681" s="17"/>
      <c r="U681" s="17"/>
      <c r="V681" s="13"/>
      <c r="W681" s="31"/>
      <c r="X681" s="13"/>
      <c r="Y681" s="123"/>
      <c r="Z681" s="36"/>
      <c r="AA681" s="18"/>
      <c r="AB681" s="18"/>
      <c r="AC681" s="33"/>
      <c r="AD681" s="34"/>
      <c r="AE681" s="35">
        <f t="shared" si="268"/>
        <v>0</v>
      </c>
    </row>
    <row r="682" spans="17:31" s="12" customFormat="1" ht="24" customHeight="1">
      <c r="Q682" s="16"/>
      <c r="R682" s="16"/>
      <c r="S682" s="16"/>
      <c r="T682" s="17"/>
      <c r="U682" s="17"/>
      <c r="V682" s="13"/>
      <c r="W682" s="31"/>
      <c r="X682" s="13"/>
      <c r="Y682" s="123"/>
      <c r="Z682" s="36"/>
      <c r="AA682" s="18"/>
      <c r="AB682" s="18"/>
      <c r="AC682" s="33"/>
      <c r="AD682" s="34"/>
      <c r="AE682" s="35">
        <f t="shared" si="268"/>
        <v>0</v>
      </c>
    </row>
    <row r="683" spans="17:31" s="12" customFormat="1" ht="24" customHeight="1">
      <c r="Q683" s="16"/>
      <c r="R683" s="16"/>
      <c r="S683" s="16"/>
      <c r="T683" s="17"/>
      <c r="U683" s="17"/>
      <c r="V683" s="13"/>
      <c r="W683" s="31"/>
      <c r="X683" s="13"/>
      <c r="Y683" s="123"/>
      <c r="Z683" s="36"/>
      <c r="AA683" s="18"/>
      <c r="AB683" s="18"/>
      <c r="AC683" s="33"/>
      <c r="AD683" s="34"/>
      <c r="AE683" s="35">
        <f t="shared" si="268"/>
        <v>0</v>
      </c>
    </row>
    <row r="684" spans="17:31" s="12" customFormat="1" ht="24" customHeight="1">
      <c r="Q684" s="16"/>
      <c r="R684" s="16"/>
      <c r="S684" s="16"/>
      <c r="T684" s="17"/>
      <c r="U684" s="17"/>
      <c r="V684" s="13"/>
      <c r="W684" s="31"/>
      <c r="X684" s="13"/>
      <c r="Y684" s="123"/>
      <c r="Z684" s="36"/>
      <c r="AA684" s="18"/>
      <c r="AB684" s="18"/>
      <c r="AC684" s="33"/>
      <c r="AD684" s="34"/>
      <c r="AE684" s="35">
        <f t="shared" si="268"/>
        <v>0</v>
      </c>
    </row>
    <row r="685" spans="17:31" s="12" customFormat="1" ht="24" customHeight="1">
      <c r="Q685" s="16"/>
      <c r="R685" s="16"/>
      <c r="S685" s="16"/>
      <c r="T685" s="17"/>
      <c r="U685" s="17"/>
      <c r="V685" s="13"/>
      <c r="W685" s="31"/>
      <c r="X685" s="13"/>
      <c r="Y685" s="123"/>
      <c r="Z685" s="36"/>
      <c r="AA685" s="18"/>
      <c r="AB685" s="18"/>
      <c r="AC685" s="33"/>
      <c r="AD685" s="34"/>
      <c r="AE685" s="35">
        <f t="shared" si="268"/>
        <v>0</v>
      </c>
    </row>
    <row r="686" spans="17:31" s="12" customFormat="1" ht="24" customHeight="1">
      <c r="Q686" s="16"/>
      <c r="R686" s="16"/>
      <c r="S686" s="16"/>
      <c r="T686" s="17"/>
      <c r="U686" s="17"/>
      <c r="V686" s="13"/>
      <c r="W686" s="31"/>
      <c r="X686" s="13"/>
      <c r="Y686" s="123"/>
      <c r="Z686" s="36"/>
      <c r="AA686" s="18"/>
      <c r="AB686" s="18"/>
      <c r="AC686" s="33"/>
      <c r="AD686" s="34"/>
      <c r="AE686" s="35">
        <f t="shared" si="268"/>
        <v>0</v>
      </c>
    </row>
    <row r="687" spans="17:31" s="12" customFormat="1" ht="24" customHeight="1">
      <c r="Q687" s="16"/>
      <c r="R687" s="16"/>
      <c r="S687" s="16"/>
      <c r="T687" s="17"/>
      <c r="U687" s="17"/>
      <c r="V687" s="13"/>
      <c r="W687" s="31"/>
      <c r="X687" s="13"/>
      <c r="Y687" s="123"/>
      <c r="Z687" s="36"/>
      <c r="AA687" s="18"/>
      <c r="AB687" s="18"/>
      <c r="AC687" s="33"/>
      <c r="AD687" s="34"/>
      <c r="AE687" s="35">
        <f t="shared" si="268"/>
        <v>0</v>
      </c>
    </row>
    <row r="688" spans="17:31" s="12" customFormat="1" ht="24" customHeight="1">
      <c r="Q688" s="16"/>
      <c r="R688" s="16"/>
      <c r="S688" s="16"/>
      <c r="T688" s="17"/>
      <c r="U688" s="17"/>
      <c r="V688" s="13"/>
      <c r="W688" s="31"/>
      <c r="X688" s="13"/>
      <c r="Y688" s="123"/>
      <c r="Z688" s="36"/>
      <c r="AA688" s="18"/>
      <c r="AB688" s="18"/>
      <c r="AC688" s="33"/>
      <c r="AD688" s="34"/>
      <c r="AE688" s="35">
        <f t="shared" si="268"/>
        <v>0</v>
      </c>
    </row>
    <row r="689" spans="17:31" s="12" customFormat="1" ht="24" customHeight="1">
      <c r="Q689" s="16"/>
      <c r="R689" s="16"/>
      <c r="S689" s="16"/>
      <c r="T689" s="17"/>
      <c r="U689" s="17"/>
      <c r="V689" s="13"/>
      <c r="W689" s="31"/>
      <c r="X689" s="13"/>
      <c r="Y689" s="123"/>
      <c r="Z689" s="36"/>
      <c r="AA689" s="18"/>
      <c r="AB689" s="18"/>
      <c r="AC689" s="33"/>
      <c r="AD689" s="34"/>
      <c r="AE689" s="35">
        <f t="shared" si="268"/>
        <v>0</v>
      </c>
    </row>
    <row r="690" spans="17:31" s="12" customFormat="1" ht="24" customHeight="1">
      <c r="Q690" s="16"/>
      <c r="R690" s="16"/>
      <c r="S690" s="16"/>
      <c r="T690" s="17"/>
      <c r="U690" s="17"/>
      <c r="V690" s="13"/>
      <c r="W690" s="31"/>
      <c r="X690" s="13"/>
      <c r="Y690" s="123"/>
      <c r="Z690" s="36"/>
      <c r="AA690" s="18"/>
      <c r="AB690" s="18"/>
      <c r="AC690" s="33"/>
      <c r="AD690" s="34"/>
      <c r="AE690" s="35">
        <f t="shared" si="268"/>
        <v>0</v>
      </c>
    </row>
    <row r="691" spans="17:31" s="12" customFormat="1" ht="24" customHeight="1">
      <c r="AE691" s="35">
        <f t="shared" si="268"/>
        <v>0</v>
      </c>
    </row>
  </sheetData>
  <dataConsolidate/>
  <conditionalFormatting sqref="N17">
    <cfRule type="cellIs" dxfId="0" priority="2" stopIfTrue="1" operator="equal">
      <formula>#N/A</formula>
    </cfRule>
  </conditionalFormatting>
  <pageMargins left="0.17" right="0.17" top="0.37" bottom="0.21" header="0.3" footer="0.17"/>
  <pageSetup paperSize="8" scale="4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9307-BAA1-4B1E-882B-CAD9E5BD3BD0}">
  <dimension ref="A1:K25"/>
  <sheetViews>
    <sheetView zoomScale="115" zoomScaleNormal="115" workbookViewId="0">
      <selection activeCell="B5" sqref="B5"/>
    </sheetView>
  </sheetViews>
  <sheetFormatPr defaultRowHeight="15"/>
  <cols>
    <col min="2" max="2" width="12.7109375" bestFit="1" customWidth="1"/>
    <col min="3" max="3" width="14.140625" customWidth="1"/>
    <col min="4" max="4" width="17.28515625" customWidth="1"/>
    <col min="5" max="5" width="17.85546875" customWidth="1"/>
    <col min="6" max="6" width="0.85546875" customWidth="1"/>
    <col min="7" max="7" width="15.140625" customWidth="1"/>
    <col min="8" max="8" width="20" bestFit="1" customWidth="1"/>
    <col min="9" max="9" width="15.85546875" bestFit="1" customWidth="1"/>
    <col min="10" max="10" width="13.42578125" bestFit="1" customWidth="1"/>
  </cols>
  <sheetData>
    <row r="1" spans="1:11">
      <c r="A1" s="529" t="s">
        <v>109</v>
      </c>
      <c r="B1" s="529" t="s">
        <v>182</v>
      </c>
      <c r="C1" s="530" t="s">
        <v>183</v>
      </c>
      <c r="D1" s="531" t="s">
        <v>184</v>
      </c>
      <c r="E1" s="532" t="s">
        <v>185</v>
      </c>
      <c r="G1" s="533" t="s">
        <v>178</v>
      </c>
      <c r="H1" s="533" t="s">
        <v>179</v>
      </c>
      <c r="I1" s="533" t="s">
        <v>180</v>
      </c>
      <c r="J1" s="533" t="s">
        <v>181</v>
      </c>
    </row>
    <row r="2" spans="1:11">
      <c r="A2" s="432" t="s">
        <v>105</v>
      </c>
      <c r="B2" s="466" t="s">
        <v>198</v>
      </c>
      <c r="C2" s="424"/>
      <c r="D2" s="1" t="s">
        <v>106</v>
      </c>
      <c r="E2" s="1" t="s">
        <v>186</v>
      </c>
      <c r="F2" s="2"/>
      <c r="G2" s="1"/>
      <c r="H2" s="120"/>
      <c r="I2" s="120">
        <v>46183</v>
      </c>
      <c r="J2" s="120">
        <v>46193</v>
      </c>
      <c r="K2" t="s">
        <v>187</v>
      </c>
    </row>
    <row r="3" spans="1:11">
      <c r="A3" s="432" t="s">
        <v>105</v>
      </c>
      <c r="B3" s="447" t="s">
        <v>199</v>
      </c>
      <c r="C3" s="423">
        <v>46151</v>
      </c>
      <c r="D3" s="1" t="s">
        <v>191</v>
      </c>
      <c r="E3" s="1" t="s">
        <v>197</v>
      </c>
      <c r="G3" s="120">
        <v>46157</v>
      </c>
      <c r="H3" s="120">
        <v>46187</v>
      </c>
      <c r="I3" s="120">
        <v>46183</v>
      </c>
      <c r="J3" s="120">
        <v>46193</v>
      </c>
    </row>
    <row r="4" spans="1:11">
      <c r="A4" s="431" t="s">
        <v>105</v>
      </c>
      <c r="B4" s="447" t="s">
        <v>218</v>
      </c>
      <c r="C4" s="423"/>
      <c r="D4" s="1" t="s">
        <v>106</v>
      </c>
      <c r="E4" s="194" t="s">
        <v>217</v>
      </c>
      <c r="G4" s="120"/>
      <c r="H4" s="120"/>
      <c r="I4" s="1"/>
      <c r="J4" s="120"/>
    </row>
    <row r="5" spans="1:11">
      <c r="A5" s="432" t="s">
        <v>105</v>
      </c>
      <c r="B5" s="447" t="s">
        <v>222</v>
      </c>
      <c r="C5" s="423"/>
      <c r="D5" s="1" t="s">
        <v>191</v>
      </c>
      <c r="E5" s="1" t="s">
        <v>221</v>
      </c>
      <c r="G5" s="120"/>
      <c r="H5" s="120"/>
      <c r="I5" s="1"/>
      <c r="J5" s="1"/>
    </row>
    <row r="6" spans="1:11">
      <c r="A6" s="431" t="s">
        <v>105</v>
      </c>
      <c r="B6" s="465"/>
      <c r="C6" s="423"/>
      <c r="D6" s="1"/>
      <c r="E6" s="1"/>
      <c r="G6" s="120"/>
      <c r="H6" s="120"/>
      <c r="I6" s="1"/>
      <c r="J6" s="1"/>
    </row>
    <row r="7" spans="1:11">
      <c r="A7" s="432" t="s">
        <v>105</v>
      </c>
      <c r="B7" s="466"/>
      <c r="C7" s="423"/>
      <c r="D7" s="1"/>
      <c r="E7" s="1"/>
      <c r="G7" s="120"/>
      <c r="H7" s="120"/>
      <c r="I7" s="1"/>
      <c r="J7" s="1"/>
    </row>
    <row r="8" spans="1:11">
      <c r="A8" s="432" t="s">
        <v>105</v>
      </c>
      <c r="B8" s="465"/>
      <c r="C8" s="423"/>
      <c r="D8" s="1"/>
      <c r="E8" s="1"/>
      <c r="G8" s="120"/>
      <c r="H8" s="120"/>
      <c r="I8" s="1"/>
      <c r="J8" s="1"/>
    </row>
    <row r="9" spans="1:11">
      <c r="A9" s="432" t="s">
        <v>105</v>
      </c>
      <c r="B9" s="429"/>
      <c r="C9" s="424"/>
      <c r="D9" s="1"/>
      <c r="E9" s="1"/>
      <c r="G9" s="1"/>
      <c r="H9" s="120"/>
      <c r="I9" s="1"/>
      <c r="J9" s="1"/>
    </row>
    <row r="10" spans="1:11">
      <c r="A10" s="432" t="s">
        <v>105</v>
      </c>
      <c r="B10" s="430"/>
      <c r="C10" s="424"/>
      <c r="D10" s="1"/>
      <c r="E10" s="1"/>
      <c r="G10" s="1"/>
      <c r="H10" s="1"/>
      <c r="I10" s="1"/>
      <c r="J10" s="1"/>
    </row>
    <row r="11" spans="1:11">
      <c r="A11" s="432" t="s">
        <v>105</v>
      </c>
      <c r="B11" s="424"/>
      <c r="C11" s="424"/>
      <c r="D11" s="1"/>
      <c r="E11" s="1"/>
      <c r="G11" s="1"/>
      <c r="H11" s="1"/>
      <c r="I11" s="1"/>
      <c r="J11" s="1"/>
    </row>
    <row r="12" spans="1:11">
      <c r="A12" s="432" t="s">
        <v>105</v>
      </c>
      <c r="B12" s="426"/>
      <c r="C12" s="424"/>
      <c r="D12" s="1"/>
      <c r="E12" s="1"/>
      <c r="G12" s="1"/>
      <c r="H12" s="1"/>
      <c r="I12" s="1"/>
      <c r="J12" s="1"/>
    </row>
    <row r="13" spans="1:11">
      <c r="A13" s="432" t="s">
        <v>105</v>
      </c>
      <c r="B13" s="424"/>
      <c r="C13" s="424"/>
      <c r="D13" s="1"/>
      <c r="E13" s="1"/>
      <c r="G13" s="1"/>
      <c r="H13" s="1"/>
      <c r="I13" s="1"/>
      <c r="J13" s="1"/>
    </row>
    <row r="14" spans="1:11">
      <c r="A14" s="432" t="s">
        <v>105</v>
      </c>
      <c r="B14" s="426"/>
      <c r="C14" s="424"/>
      <c r="D14" s="1"/>
      <c r="E14" s="1"/>
      <c r="G14" s="1"/>
      <c r="H14" s="1"/>
      <c r="I14" s="1"/>
      <c r="J14" s="1"/>
    </row>
    <row r="15" spans="1:11">
      <c r="A15" s="432" t="s">
        <v>105</v>
      </c>
      <c r="B15" s="424"/>
      <c r="C15" s="424"/>
      <c r="D15" s="1"/>
      <c r="E15" s="1"/>
      <c r="G15" s="528"/>
      <c r="H15" s="528"/>
      <c r="I15" s="528"/>
      <c r="J15" s="528"/>
    </row>
    <row r="16" spans="1:11">
      <c r="A16" s="432" t="s">
        <v>105</v>
      </c>
      <c r="B16" s="426"/>
      <c r="C16" s="424"/>
      <c r="D16" s="1"/>
      <c r="E16" s="1"/>
      <c r="G16" s="528"/>
      <c r="H16" s="528"/>
      <c r="I16" s="528"/>
      <c r="J16" s="528"/>
    </row>
    <row r="17" spans="1:10">
      <c r="A17" s="370"/>
      <c r="B17" s="424"/>
      <c r="C17" s="424"/>
      <c r="D17" s="1"/>
      <c r="E17" s="1"/>
      <c r="G17" s="528"/>
      <c r="H17" s="528"/>
      <c r="I17" s="528"/>
      <c r="J17" s="528"/>
    </row>
    <row r="18" spans="1:10">
      <c r="A18" s="425"/>
      <c r="B18" s="426"/>
      <c r="C18" s="424"/>
      <c r="D18" s="1"/>
      <c r="E18" s="1"/>
      <c r="G18" s="528"/>
      <c r="H18" s="528"/>
      <c r="I18" s="528"/>
      <c r="J18" s="528"/>
    </row>
    <row r="19" spans="1:10">
      <c r="A19" s="370"/>
      <c r="B19" s="424"/>
      <c r="C19" s="424"/>
      <c r="D19" s="1"/>
      <c r="E19" s="1"/>
      <c r="G19" s="528"/>
      <c r="H19" s="528"/>
      <c r="I19" s="528"/>
      <c r="J19" s="528"/>
    </row>
    <row r="20" spans="1:10">
      <c r="A20" s="425"/>
      <c r="B20" s="426"/>
      <c r="C20" s="424"/>
      <c r="D20" s="1"/>
      <c r="E20" s="1"/>
      <c r="G20" s="528"/>
      <c r="H20" s="528"/>
      <c r="I20" s="528"/>
      <c r="J20" s="528"/>
    </row>
    <row r="21" spans="1:10">
      <c r="A21" s="370"/>
      <c r="B21" s="424"/>
      <c r="C21" s="424"/>
      <c r="D21" s="1"/>
      <c r="E21" s="1"/>
      <c r="G21" s="528"/>
      <c r="H21" s="528"/>
      <c r="I21" s="528"/>
      <c r="J21" s="528"/>
    </row>
    <row r="22" spans="1:10">
      <c r="A22" s="425"/>
      <c r="B22" s="426"/>
      <c r="C22" s="424"/>
      <c r="D22" s="1"/>
      <c r="E22" s="1"/>
      <c r="G22" s="528"/>
      <c r="H22" s="528"/>
      <c r="I22" s="528"/>
      <c r="J22" s="528"/>
    </row>
    <row r="23" spans="1:10">
      <c r="A23" s="370"/>
      <c r="B23" s="424"/>
      <c r="C23" s="424"/>
      <c r="D23" s="1"/>
      <c r="E23" s="1"/>
      <c r="G23" s="528"/>
      <c r="H23" s="528"/>
      <c r="I23" s="528"/>
      <c r="J23" s="528"/>
    </row>
    <row r="24" spans="1:10">
      <c r="A24" s="370"/>
      <c r="B24" s="424"/>
      <c r="C24" s="424"/>
      <c r="D24" s="1"/>
      <c r="E24" s="1"/>
      <c r="G24" s="528"/>
      <c r="H24" s="528"/>
      <c r="I24" s="528"/>
      <c r="J24" s="528"/>
    </row>
    <row r="25" spans="1:10">
      <c r="A25" s="427"/>
      <c r="B25" s="428"/>
      <c r="C25" s="424"/>
      <c r="D25" s="1"/>
      <c r="E25" s="1"/>
      <c r="G25" s="528"/>
      <c r="H25" s="528"/>
      <c r="I25" s="528"/>
      <c r="J25" s="5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0789-5370-4420-8ECC-31FAF8F7476C}">
  <dimension ref="A1:J15"/>
  <sheetViews>
    <sheetView workbookViewId="0">
      <selection activeCell="I9" sqref="I9"/>
    </sheetView>
  </sheetViews>
  <sheetFormatPr defaultRowHeight="15"/>
  <cols>
    <col min="1" max="1" width="17.42578125" bestFit="1" customWidth="1"/>
    <col min="3" max="3" width="10.140625" bestFit="1" customWidth="1"/>
    <col min="4" max="4" width="9.28515625" bestFit="1" customWidth="1"/>
    <col min="5" max="5" width="8.140625" customWidth="1"/>
    <col min="6" max="6" width="9.28515625" bestFit="1" customWidth="1"/>
    <col min="7" max="7" width="10.7109375" bestFit="1" customWidth="1"/>
    <col min="8" max="8" width="13.5703125" bestFit="1" customWidth="1"/>
    <col min="9" max="9" width="13.28515625" customWidth="1"/>
    <col min="10" max="10" width="15.140625" customWidth="1"/>
  </cols>
  <sheetData>
    <row r="1" spans="1:10">
      <c r="A1" t="s">
        <v>210</v>
      </c>
    </row>
    <row r="2" spans="1:10" ht="33.75">
      <c r="A2" s="504" t="s">
        <v>6</v>
      </c>
      <c r="B2" s="504" t="s">
        <v>8</v>
      </c>
      <c r="C2" s="504" t="s">
        <v>118</v>
      </c>
      <c r="D2" s="504" t="s">
        <v>175</v>
      </c>
      <c r="E2" s="504" t="s">
        <v>12</v>
      </c>
      <c r="F2" s="505" t="s">
        <v>176</v>
      </c>
      <c r="G2" s="505" t="s">
        <v>16</v>
      </c>
      <c r="H2" s="504" t="s">
        <v>22</v>
      </c>
      <c r="I2" s="506" t="s">
        <v>18</v>
      </c>
      <c r="J2" s="507" t="s">
        <v>24</v>
      </c>
    </row>
    <row r="3" spans="1:10">
      <c r="A3" s="508" t="s">
        <v>191</v>
      </c>
      <c r="B3" s="509" t="s">
        <v>192</v>
      </c>
      <c r="C3" s="509" t="s">
        <v>193</v>
      </c>
      <c r="D3" s="510">
        <v>296</v>
      </c>
      <c r="E3" s="511" t="s">
        <v>114</v>
      </c>
      <c r="F3" s="512">
        <v>7.9</v>
      </c>
      <c r="G3" s="513">
        <f>D3*F3</f>
        <v>2338.4</v>
      </c>
      <c r="H3" s="514" t="s">
        <v>197</v>
      </c>
      <c r="I3" s="515">
        <v>46151</v>
      </c>
      <c r="J3" s="516">
        <v>46189</v>
      </c>
    </row>
    <row r="4" spans="1:10" ht="15.75" thickBot="1">
      <c r="A4" s="508" t="s">
        <v>191</v>
      </c>
      <c r="B4" s="509" t="s">
        <v>192</v>
      </c>
      <c r="C4" s="509" t="s">
        <v>196</v>
      </c>
      <c r="D4" s="510">
        <v>300</v>
      </c>
      <c r="E4" s="517" t="s">
        <v>114</v>
      </c>
      <c r="F4" s="512">
        <v>7.9</v>
      </c>
      <c r="G4" s="518">
        <f>D4*F4</f>
        <v>2370</v>
      </c>
      <c r="H4" s="514" t="s">
        <v>197</v>
      </c>
      <c r="I4" s="515">
        <v>46151</v>
      </c>
      <c r="J4" s="516">
        <v>46189</v>
      </c>
    </row>
    <row r="5" spans="1:10">
      <c r="A5" s="564"/>
      <c r="B5" s="565"/>
      <c r="C5" s="565"/>
      <c r="D5" s="566" t="s">
        <v>172</v>
      </c>
      <c r="E5" s="567"/>
      <c r="F5" s="568"/>
      <c r="G5" s="569">
        <f>SUM(G3:G4)</f>
        <v>4708.3999999999996</v>
      </c>
      <c r="H5" s="570"/>
      <c r="I5" s="571"/>
      <c r="J5" s="572"/>
    </row>
    <row r="6" spans="1:10">
      <c r="A6" s="519"/>
      <c r="B6" s="519"/>
      <c r="C6" s="519"/>
      <c r="D6" s="580" t="s">
        <v>173</v>
      </c>
      <c r="E6" s="581"/>
      <c r="F6" s="520">
        <v>6.0000000000000001E-3</v>
      </c>
      <c r="G6" s="521">
        <f>G5*F6</f>
        <v>28.250399999999999</v>
      </c>
      <c r="H6" s="519"/>
      <c r="I6" s="519"/>
      <c r="J6" s="519"/>
    </row>
    <row r="7" spans="1:10" ht="15.75">
      <c r="A7" s="370"/>
      <c r="B7" s="522"/>
      <c r="C7" s="522"/>
      <c r="D7" s="526" t="s">
        <v>174</v>
      </c>
      <c r="E7" s="526"/>
      <c r="F7" s="526"/>
      <c r="G7" s="525">
        <f>G5-G6</f>
        <v>4680.1495999999997</v>
      </c>
      <c r="H7" s="522"/>
      <c r="I7" s="522"/>
      <c r="J7" s="523"/>
    </row>
    <row r="9" spans="1:10">
      <c r="G9" s="527"/>
    </row>
    <row r="10" spans="1:10">
      <c r="A10" t="s">
        <v>177</v>
      </c>
    </row>
    <row r="11" spans="1:10" ht="33.75">
      <c r="A11" s="504" t="s">
        <v>6</v>
      </c>
      <c r="B11" s="504" t="s">
        <v>8</v>
      </c>
      <c r="C11" s="504" t="s">
        <v>118</v>
      </c>
      <c r="D11" s="504" t="s">
        <v>175</v>
      </c>
      <c r="E11" s="504" t="s">
        <v>12</v>
      </c>
      <c r="F11" s="505" t="s">
        <v>176</v>
      </c>
      <c r="G11" s="505" t="s">
        <v>16</v>
      </c>
      <c r="H11" s="504" t="s">
        <v>22</v>
      </c>
      <c r="I11" s="506" t="s">
        <v>18</v>
      </c>
      <c r="J11" s="507" t="s">
        <v>24</v>
      </c>
    </row>
    <row r="12" spans="1:10" ht="15.75" thickBot="1">
      <c r="A12" s="508" t="s">
        <v>106</v>
      </c>
      <c r="B12" s="509" t="s">
        <v>111</v>
      </c>
      <c r="C12" s="508">
        <v>14893608</v>
      </c>
      <c r="D12" s="514">
        <v>56</v>
      </c>
      <c r="E12" s="511" t="s">
        <v>114</v>
      </c>
      <c r="F12" s="512">
        <v>8.3000000000000007</v>
      </c>
      <c r="G12" s="513">
        <f>D12*F12</f>
        <v>464.80000000000007</v>
      </c>
      <c r="H12" s="514" t="s">
        <v>186</v>
      </c>
      <c r="I12" s="573">
        <v>46137</v>
      </c>
      <c r="J12" s="516">
        <v>46183</v>
      </c>
    </row>
    <row r="13" spans="1:10">
      <c r="A13" s="564"/>
      <c r="B13" s="565"/>
      <c r="C13" s="565"/>
      <c r="D13" s="566" t="s">
        <v>172</v>
      </c>
      <c r="E13" s="567"/>
      <c r="F13" s="568"/>
      <c r="G13" s="569">
        <f>SUM(G12:G12)</f>
        <v>464.80000000000007</v>
      </c>
      <c r="H13" s="570"/>
      <c r="I13" s="571"/>
      <c r="J13" s="572"/>
    </row>
    <row r="14" spans="1:10">
      <c r="A14" s="574"/>
      <c r="B14" s="574"/>
      <c r="C14" s="574"/>
      <c r="D14" s="582" t="s">
        <v>173</v>
      </c>
      <c r="E14" s="583"/>
      <c r="F14" s="575">
        <v>6.0000000000000001E-3</v>
      </c>
      <c r="G14" s="576">
        <f>G13*F14</f>
        <v>2.7888000000000006</v>
      </c>
      <c r="H14" s="574"/>
      <c r="I14" s="574"/>
      <c r="J14" s="574"/>
    </row>
    <row r="15" spans="1:10" ht="15.75">
      <c r="A15" s="370"/>
      <c r="B15" s="522"/>
      <c r="C15" s="522"/>
      <c r="D15" s="526" t="s">
        <v>174</v>
      </c>
      <c r="E15" s="526"/>
      <c r="F15" s="526"/>
      <c r="G15" s="525">
        <f>G13-G14</f>
        <v>462.01120000000009</v>
      </c>
      <c r="H15" s="522"/>
      <c r="I15" s="522"/>
      <c r="J15" s="523"/>
    </row>
  </sheetData>
  <mergeCells count="2">
    <mergeCell ref="D6:E6"/>
    <mergeCell ref="D14:E14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E0E6-052A-4137-8353-3DDA604F7A4A}">
  <sheetPr codeName="Sheet10"/>
  <dimension ref="A1:AE14"/>
  <sheetViews>
    <sheetView zoomScaleNormal="100" workbookViewId="0">
      <selection activeCell="H16" sqref="H16"/>
    </sheetView>
  </sheetViews>
  <sheetFormatPr defaultRowHeight="15"/>
  <cols>
    <col min="1" max="1" width="13.85546875" bestFit="1" customWidth="1"/>
    <col min="2" max="2" width="8.85546875" style="2" customWidth="1"/>
    <col min="3" max="3" width="11.7109375" style="2" customWidth="1"/>
    <col min="4" max="4" width="9.7109375" style="2" customWidth="1"/>
    <col min="5" max="5" width="13.42578125" style="2" customWidth="1"/>
    <col min="6" max="6" width="21.42578125" style="2" customWidth="1"/>
    <col min="7" max="7" width="8.85546875" style="2" customWidth="1"/>
    <col min="8" max="9" width="8.7109375" style="2" customWidth="1"/>
    <col min="10" max="10" width="10.7109375" style="2" customWidth="1"/>
    <col min="11" max="11" width="8.28515625" style="2" customWidth="1"/>
    <col min="12" max="12" width="11.28515625" style="2" customWidth="1"/>
    <col min="13" max="13" width="11.5703125" style="2" customWidth="1"/>
    <col min="14" max="14" width="9.5703125" style="2" customWidth="1"/>
    <col min="15" max="15" width="13.28515625" style="2" bestFit="1" customWidth="1"/>
    <col min="16" max="16" width="12.5703125" style="2" customWidth="1"/>
    <col min="17" max="17" width="13.5703125" style="2" customWidth="1"/>
    <col min="18" max="18" width="26.5703125" style="2" bestFit="1" customWidth="1"/>
    <col min="19" max="19" width="11.5703125" bestFit="1" customWidth="1"/>
    <col min="21" max="21" width="9.140625" style="2"/>
    <col min="22" max="22" width="10" style="2" bestFit="1" customWidth="1"/>
    <col min="23" max="23" width="17.140625" style="2" customWidth="1"/>
    <col min="24" max="24" width="18.85546875" style="2" customWidth="1"/>
    <col min="25" max="25" width="12.140625" style="2" customWidth="1"/>
    <col min="26" max="26" width="11.28515625" style="2" customWidth="1"/>
    <col min="27" max="27" width="16.5703125" style="2" customWidth="1"/>
    <col min="28" max="28" width="14.140625" style="2" customWidth="1"/>
    <col min="29" max="29" width="12.7109375" style="2" customWidth="1"/>
    <col min="30" max="30" width="15.5703125" style="2" customWidth="1"/>
    <col min="31" max="31" width="15.140625" style="2" customWidth="1"/>
  </cols>
  <sheetData>
    <row r="1" spans="1:31" ht="16.5" thickBot="1">
      <c r="A1" s="589" t="s">
        <v>127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1"/>
    </row>
    <row r="2" spans="1:31" s="382" customFormat="1" ht="27" customHeight="1">
      <c r="A2" s="437" t="s">
        <v>104</v>
      </c>
      <c r="B2" s="291" t="s">
        <v>71</v>
      </c>
      <c r="C2" s="291" t="s">
        <v>129</v>
      </c>
      <c r="D2" s="291" t="s">
        <v>112</v>
      </c>
      <c r="E2" s="291" t="s">
        <v>121</v>
      </c>
      <c r="F2" s="291" t="s">
        <v>122</v>
      </c>
      <c r="G2" s="291" t="s">
        <v>9</v>
      </c>
      <c r="H2" s="291" t="s">
        <v>74</v>
      </c>
      <c r="I2" s="444" t="s">
        <v>130</v>
      </c>
      <c r="J2" s="444" t="s">
        <v>131</v>
      </c>
      <c r="K2" s="291" t="s">
        <v>0</v>
      </c>
      <c r="L2" s="444" t="s">
        <v>125</v>
      </c>
      <c r="M2" s="444" t="s">
        <v>126</v>
      </c>
      <c r="N2" s="438" t="s">
        <v>95</v>
      </c>
      <c r="O2" s="436" t="s">
        <v>72</v>
      </c>
      <c r="P2" s="291" t="s">
        <v>69</v>
      </c>
      <c r="Q2" s="291" t="s">
        <v>73</v>
      </c>
      <c r="R2" s="291" t="s">
        <v>94</v>
      </c>
      <c r="U2" s="294" t="s">
        <v>75</v>
      </c>
      <c r="V2" s="295" t="s">
        <v>79</v>
      </c>
      <c r="W2" s="295" t="s">
        <v>76</v>
      </c>
      <c r="X2" s="295" t="s">
        <v>77</v>
      </c>
      <c r="Y2" s="295" t="s">
        <v>85</v>
      </c>
      <c r="Z2" s="295" t="s">
        <v>93</v>
      </c>
      <c r="AA2" s="295" t="s">
        <v>80</v>
      </c>
      <c r="AB2" s="295" t="s">
        <v>81</v>
      </c>
      <c r="AC2" s="295" t="s">
        <v>82</v>
      </c>
      <c r="AD2" s="295" t="s">
        <v>83</v>
      </c>
      <c r="AE2" s="296" t="s">
        <v>84</v>
      </c>
    </row>
    <row r="3" spans="1:31">
      <c r="A3" s="439" t="s">
        <v>107</v>
      </c>
      <c r="B3" s="194" t="s">
        <v>120</v>
      </c>
      <c r="C3" s="194">
        <v>14893308</v>
      </c>
      <c r="D3" s="194" t="s">
        <v>123</v>
      </c>
      <c r="E3" s="194" t="s">
        <v>108</v>
      </c>
      <c r="F3" s="383" t="s">
        <v>119</v>
      </c>
      <c r="G3" s="194">
        <v>500</v>
      </c>
      <c r="H3" s="194">
        <v>510</v>
      </c>
      <c r="I3" s="445">
        <v>9.1999999999999993</v>
      </c>
      <c r="J3" s="445">
        <f>H3*I3</f>
        <v>4692</v>
      </c>
      <c r="K3" s="194">
        <v>32</v>
      </c>
      <c r="L3" s="435">
        <v>221</v>
      </c>
      <c r="M3" s="435">
        <v>176</v>
      </c>
      <c r="N3" s="440">
        <v>1.6319999999999999</v>
      </c>
      <c r="O3" s="434"/>
      <c r="P3" s="288"/>
      <c r="Q3" s="288"/>
      <c r="R3" s="288"/>
      <c r="U3" s="297">
        <v>1500</v>
      </c>
      <c r="V3" s="1">
        <v>50</v>
      </c>
      <c r="W3" s="1">
        <f>U3/V3</f>
        <v>30</v>
      </c>
      <c r="X3" s="1" t="s">
        <v>78</v>
      </c>
      <c r="Y3" s="292">
        <f>60*40*30*30/1000000</f>
        <v>2.16</v>
      </c>
      <c r="Z3" s="292">
        <v>0.35</v>
      </c>
      <c r="AA3" s="292">
        <f>Z3*V3</f>
        <v>17.5</v>
      </c>
      <c r="AB3" s="292">
        <f>AA3*W3</f>
        <v>525</v>
      </c>
      <c r="AC3" s="292">
        <v>2.5</v>
      </c>
      <c r="AD3" s="292">
        <f>AA3+AC3</f>
        <v>20</v>
      </c>
      <c r="AE3" s="298">
        <f>AD3*W3</f>
        <v>600</v>
      </c>
    </row>
    <row r="4" spans="1:31">
      <c r="A4" s="439" t="s">
        <v>107</v>
      </c>
      <c r="B4" s="194" t="s">
        <v>120</v>
      </c>
      <c r="C4" s="194">
        <v>14893394</v>
      </c>
      <c r="D4" s="194" t="s">
        <v>124</v>
      </c>
      <c r="E4" s="194" t="s">
        <v>108</v>
      </c>
      <c r="F4" s="383" t="s">
        <v>119</v>
      </c>
      <c r="G4" s="194">
        <v>500</v>
      </c>
      <c r="H4" s="194">
        <v>515</v>
      </c>
      <c r="I4" s="445">
        <v>9.1999999999999993</v>
      </c>
      <c r="J4" s="445">
        <f>H4*I4</f>
        <v>4738</v>
      </c>
      <c r="K4" s="194">
        <v>32</v>
      </c>
      <c r="L4" s="435">
        <v>221</v>
      </c>
      <c r="M4" s="435">
        <v>176</v>
      </c>
      <c r="N4" s="440">
        <v>1.6319999999999999</v>
      </c>
      <c r="O4" s="434"/>
      <c r="P4" s="288"/>
      <c r="Q4" s="288"/>
      <c r="R4" s="288"/>
      <c r="U4" s="592" t="s">
        <v>86</v>
      </c>
      <c r="V4" s="593"/>
      <c r="W4" s="593"/>
      <c r="X4" s="594"/>
      <c r="AE4" s="299"/>
    </row>
    <row r="5" spans="1:31" ht="15.75" thickBot="1">
      <c r="A5" s="584" t="s">
        <v>102</v>
      </c>
      <c r="B5" s="585"/>
      <c r="C5" s="585"/>
      <c r="D5" s="585"/>
      <c r="E5" s="585"/>
      <c r="F5" s="586"/>
      <c r="G5" s="441">
        <f t="shared" ref="G5:N5" si="0">SUM(G3:G4)</f>
        <v>1000</v>
      </c>
      <c r="H5" s="441">
        <f t="shared" si="0"/>
        <v>1025</v>
      </c>
      <c r="I5" s="441"/>
      <c r="J5" s="446">
        <f>SUM(J3:J4)</f>
        <v>9430</v>
      </c>
      <c r="K5" s="441">
        <f t="shared" si="0"/>
        <v>64</v>
      </c>
      <c r="L5" s="442">
        <f t="shared" si="0"/>
        <v>442</v>
      </c>
      <c r="M5" s="442">
        <f t="shared" si="0"/>
        <v>352</v>
      </c>
      <c r="N5" s="443">
        <f t="shared" si="0"/>
        <v>3.2639999999999998</v>
      </c>
      <c r="U5" s="300" t="s">
        <v>87</v>
      </c>
      <c r="V5" s="293" t="s">
        <v>88</v>
      </c>
      <c r="W5" s="293" t="s">
        <v>92</v>
      </c>
      <c r="X5" s="293" t="s">
        <v>89</v>
      </c>
      <c r="Y5" s="293" t="s">
        <v>90</v>
      </c>
      <c r="Z5" s="293" t="s">
        <v>91</v>
      </c>
      <c r="AE5" s="299"/>
    </row>
    <row r="6" spans="1:31" ht="15.75" thickBot="1">
      <c r="U6" s="301">
        <v>1500</v>
      </c>
      <c r="V6" s="302">
        <v>12</v>
      </c>
      <c r="W6" s="302">
        <v>2.16</v>
      </c>
      <c r="X6" s="302">
        <v>2.5</v>
      </c>
      <c r="Y6" s="302">
        <f>X6*V6</f>
        <v>30</v>
      </c>
      <c r="Z6" s="302">
        <f>Y6/U6</f>
        <v>0.02</v>
      </c>
      <c r="AA6" s="303"/>
      <c r="AB6" s="303"/>
      <c r="AC6" s="303"/>
      <c r="AD6" s="303"/>
      <c r="AE6" s="304"/>
    </row>
    <row r="7" spans="1:31" ht="15.75" thickBot="1">
      <c r="A7" t="s">
        <v>157</v>
      </c>
      <c r="D7" s="467" t="s">
        <v>169</v>
      </c>
    </row>
    <row r="8" spans="1:31" ht="15.75">
      <c r="A8" s="589" t="s">
        <v>127</v>
      </c>
      <c r="B8" s="590"/>
      <c r="C8" s="590"/>
      <c r="D8" s="590"/>
      <c r="E8" s="590"/>
      <c r="F8" s="590"/>
      <c r="G8" s="590"/>
      <c r="H8" s="590"/>
      <c r="I8" s="590"/>
      <c r="J8" s="590"/>
      <c r="K8" s="590"/>
      <c r="L8" s="590"/>
      <c r="M8" s="590"/>
      <c r="N8" s="591"/>
    </row>
    <row r="9" spans="1:31" ht="23.25">
      <c r="A9" s="437" t="s">
        <v>104</v>
      </c>
      <c r="B9" s="291" t="s">
        <v>71</v>
      </c>
      <c r="C9" s="291" t="s">
        <v>129</v>
      </c>
      <c r="D9" s="291" t="s">
        <v>112</v>
      </c>
      <c r="E9" s="291" t="s">
        <v>121</v>
      </c>
      <c r="F9" s="291" t="s">
        <v>122</v>
      </c>
      <c r="G9" s="291" t="s">
        <v>9</v>
      </c>
      <c r="H9" s="291" t="s">
        <v>74</v>
      </c>
      <c r="I9" s="444" t="s">
        <v>130</v>
      </c>
      <c r="J9" s="444" t="s">
        <v>131</v>
      </c>
      <c r="K9" s="291" t="s">
        <v>0</v>
      </c>
      <c r="L9" s="444" t="s">
        <v>125</v>
      </c>
      <c r="M9" s="444" t="s">
        <v>126</v>
      </c>
      <c r="N9" s="438" t="s">
        <v>95</v>
      </c>
    </row>
    <row r="10" spans="1:31" ht="20.100000000000001" customHeight="1">
      <c r="A10" s="439" t="s">
        <v>107</v>
      </c>
      <c r="B10" s="194" t="s">
        <v>120</v>
      </c>
      <c r="C10" s="194">
        <v>14894409</v>
      </c>
      <c r="D10" s="194" t="s">
        <v>158</v>
      </c>
      <c r="E10" s="194" t="s">
        <v>159</v>
      </c>
      <c r="F10" s="383" t="s">
        <v>156</v>
      </c>
      <c r="G10" s="194">
        <v>500</v>
      </c>
      <c r="H10" s="194">
        <v>527</v>
      </c>
      <c r="I10" s="445">
        <v>9</v>
      </c>
      <c r="J10" s="445">
        <f>H10*I10</f>
        <v>4743</v>
      </c>
      <c r="K10" s="194">
        <v>36</v>
      </c>
      <c r="L10" s="435">
        <v>275</v>
      </c>
      <c r="M10" s="435">
        <v>224</v>
      </c>
      <c r="N10" s="440">
        <f>60*34*25*K10/1000000</f>
        <v>1.8360000000000001</v>
      </c>
      <c r="O10" s="595"/>
      <c r="U10" s="307" t="s">
        <v>96</v>
      </c>
      <c r="V10" s="307">
        <v>24598.7</v>
      </c>
      <c r="W10" s="308">
        <v>45605</v>
      </c>
      <c r="X10" s="596"/>
      <c r="Y10" s="598"/>
      <c r="Z10" s="600"/>
      <c r="AA10" s="587"/>
    </row>
    <row r="11" spans="1:31" ht="20.100000000000001" customHeight="1">
      <c r="A11" s="439" t="s">
        <v>107</v>
      </c>
      <c r="B11" s="194" t="s">
        <v>120</v>
      </c>
      <c r="C11" s="194">
        <v>14894660</v>
      </c>
      <c r="D11" s="194" t="s">
        <v>167</v>
      </c>
      <c r="E11" s="194" t="s">
        <v>159</v>
      </c>
      <c r="F11" s="383" t="s">
        <v>156</v>
      </c>
      <c r="G11" s="194">
        <v>500</v>
      </c>
      <c r="H11" s="194">
        <v>528</v>
      </c>
      <c r="I11" s="445">
        <v>7.2</v>
      </c>
      <c r="J11" s="445">
        <f t="shared" ref="J11:J12" si="1">H11*I11</f>
        <v>3801.6</v>
      </c>
      <c r="K11" s="194">
        <v>16</v>
      </c>
      <c r="L11" s="435">
        <v>163</v>
      </c>
      <c r="M11" s="435">
        <v>140</v>
      </c>
      <c r="N11" s="440">
        <f t="shared" ref="N11:N12" si="2">60*34*25*K11/1000000</f>
        <v>0.81599999999999995</v>
      </c>
      <c r="O11" s="595"/>
      <c r="U11" s="307"/>
      <c r="V11" s="307"/>
      <c r="W11" s="308"/>
      <c r="X11" s="596"/>
      <c r="Y11" s="598"/>
      <c r="Z11" s="600"/>
      <c r="AA11" s="587"/>
    </row>
    <row r="12" spans="1:31" ht="20.100000000000001" customHeight="1">
      <c r="A12" s="439" t="s">
        <v>107</v>
      </c>
      <c r="B12" s="194" t="s">
        <v>120</v>
      </c>
      <c r="C12" s="194">
        <v>14894664</v>
      </c>
      <c r="D12" s="194" t="s">
        <v>168</v>
      </c>
      <c r="E12" s="194" t="s">
        <v>159</v>
      </c>
      <c r="F12" s="383" t="s">
        <v>156</v>
      </c>
      <c r="G12" s="194">
        <v>500</v>
      </c>
      <c r="H12" s="194">
        <v>526</v>
      </c>
      <c r="I12" s="445">
        <v>7.2</v>
      </c>
      <c r="J12" s="445">
        <f t="shared" si="1"/>
        <v>3787.2000000000003</v>
      </c>
      <c r="K12" s="194">
        <v>16</v>
      </c>
      <c r="L12" s="435">
        <v>163</v>
      </c>
      <c r="M12" s="435">
        <v>140</v>
      </c>
      <c r="N12" s="440">
        <f t="shared" si="2"/>
        <v>0.81599999999999995</v>
      </c>
      <c r="O12" s="595"/>
      <c r="U12" s="307" t="s">
        <v>97</v>
      </c>
      <c r="V12" s="307">
        <v>11366.83</v>
      </c>
      <c r="W12" s="308">
        <v>45605</v>
      </c>
      <c r="X12" s="597"/>
      <c r="Y12" s="599"/>
      <c r="Z12" s="600"/>
      <c r="AA12" s="588"/>
    </row>
    <row r="13" spans="1:31" ht="24" thickBot="1">
      <c r="A13" s="584" t="s">
        <v>102</v>
      </c>
      <c r="B13" s="585"/>
      <c r="C13" s="585"/>
      <c r="D13" s="585"/>
      <c r="E13" s="585"/>
      <c r="F13" s="586"/>
      <c r="G13" s="441">
        <f t="shared" ref="G13:H13" si="3">SUM(G10:G12)</f>
        <v>1500</v>
      </c>
      <c r="H13" s="441">
        <f t="shared" si="3"/>
        <v>1581</v>
      </c>
      <c r="I13" s="441"/>
      <c r="J13" s="446">
        <f>SUM(J10:J12)</f>
        <v>12331.800000000001</v>
      </c>
      <c r="K13" s="441">
        <f t="shared" ref="K13:N13" si="4">SUM(K10:K12)</f>
        <v>68</v>
      </c>
      <c r="L13" s="442">
        <f t="shared" si="4"/>
        <v>601</v>
      </c>
      <c r="M13" s="442">
        <f t="shared" si="4"/>
        <v>504</v>
      </c>
      <c r="N13" s="443">
        <f t="shared" si="4"/>
        <v>3.468</v>
      </c>
      <c r="O13" s="184"/>
      <c r="U13" s="307" t="s">
        <v>98</v>
      </c>
      <c r="V13" s="307">
        <v>5310.75</v>
      </c>
      <c r="W13" s="308">
        <v>45618</v>
      </c>
      <c r="X13" s="307">
        <f>V13</f>
        <v>5310.75</v>
      </c>
      <c r="Y13" s="310">
        <v>0</v>
      </c>
      <c r="Z13" s="309">
        <v>0</v>
      </c>
      <c r="AA13" s="290" t="s">
        <v>99</v>
      </c>
    </row>
    <row r="14" spans="1:31">
      <c r="A14" s="485" t="s">
        <v>165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2"/>
      <c r="U14" s="306"/>
      <c r="V14" s="306"/>
      <c r="W14" s="306"/>
      <c r="X14" s="306"/>
      <c r="Y14" s="306"/>
      <c r="Z14" s="311"/>
      <c r="AA14" s="311"/>
    </row>
  </sheetData>
  <mergeCells count="10">
    <mergeCell ref="A13:F13"/>
    <mergeCell ref="AA10:AA12"/>
    <mergeCell ref="A1:N1"/>
    <mergeCell ref="A5:F5"/>
    <mergeCell ref="U4:X4"/>
    <mergeCell ref="O10:O12"/>
    <mergeCell ref="X10:X12"/>
    <mergeCell ref="Y10:Y12"/>
    <mergeCell ref="Z10:Z12"/>
    <mergeCell ref="A8:N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B292-2AB8-495C-A8EC-1FDCA23FED15}">
  <dimension ref="A1:R51"/>
  <sheetViews>
    <sheetView topLeftCell="A24" zoomScale="85" zoomScaleNormal="85" workbookViewId="0">
      <selection activeCell="A42" sqref="A42:F42"/>
    </sheetView>
  </sheetViews>
  <sheetFormatPr defaultRowHeight="15"/>
  <cols>
    <col min="1" max="1" width="15.5703125" customWidth="1"/>
    <col min="2" max="2" width="8.85546875" style="2" customWidth="1"/>
    <col min="3" max="3" width="11.7109375" style="2" customWidth="1"/>
    <col min="4" max="4" width="11.7109375" style="2" bestFit="1" customWidth="1"/>
    <col min="5" max="5" width="13.42578125" style="2" customWidth="1"/>
    <col min="6" max="6" width="21.42578125" style="2" customWidth="1"/>
    <col min="7" max="7" width="8.85546875" style="2" customWidth="1"/>
    <col min="8" max="9" width="8.7109375" style="2" customWidth="1"/>
    <col min="10" max="10" width="10.7109375" style="2" customWidth="1"/>
    <col min="11" max="11" width="8.28515625" style="2" customWidth="1"/>
    <col min="12" max="12" width="11.28515625" style="2" customWidth="1"/>
    <col min="13" max="13" width="11.5703125" style="2" customWidth="1"/>
    <col min="14" max="14" width="9.5703125" style="2" customWidth="1"/>
    <col min="15" max="15" width="13.28515625" style="2" bestFit="1" customWidth="1"/>
    <col min="16" max="16" width="12.5703125" style="2" customWidth="1"/>
    <col min="17" max="17" width="13.5703125" style="2" customWidth="1"/>
    <col min="18" max="18" width="26.5703125" style="2" bestFit="1" customWidth="1"/>
    <col min="19" max="19" width="11.5703125" bestFit="1" customWidth="1"/>
  </cols>
  <sheetData>
    <row r="1" spans="1:18" ht="15.75">
      <c r="A1" s="589" t="s">
        <v>127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1"/>
    </row>
    <row r="2" spans="1:18" s="382" customFormat="1" ht="27" customHeight="1">
      <c r="A2" s="437" t="s">
        <v>104</v>
      </c>
      <c r="B2" s="291" t="s">
        <v>71</v>
      </c>
      <c r="C2" s="291" t="s">
        <v>129</v>
      </c>
      <c r="D2" s="291" t="s">
        <v>112</v>
      </c>
      <c r="E2" s="291" t="s">
        <v>121</v>
      </c>
      <c r="F2" s="291" t="s">
        <v>122</v>
      </c>
      <c r="G2" s="291" t="s">
        <v>9</v>
      </c>
      <c r="H2" s="291" t="s">
        <v>74</v>
      </c>
      <c r="I2" s="444" t="s">
        <v>130</v>
      </c>
      <c r="J2" s="444" t="s">
        <v>131</v>
      </c>
      <c r="K2" s="291" t="s">
        <v>0</v>
      </c>
      <c r="L2" s="444" t="s">
        <v>125</v>
      </c>
      <c r="M2" s="444" t="s">
        <v>126</v>
      </c>
      <c r="N2" s="438" t="s">
        <v>95</v>
      </c>
      <c r="O2" s="436" t="s">
        <v>72</v>
      </c>
      <c r="P2" s="291" t="s">
        <v>69</v>
      </c>
      <c r="Q2" s="291" t="s">
        <v>73</v>
      </c>
      <c r="R2" s="291" t="s">
        <v>94</v>
      </c>
    </row>
    <row r="3" spans="1:18">
      <c r="A3" s="297" t="s">
        <v>132</v>
      </c>
      <c r="B3" s="194" t="s">
        <v>120</v>
      </c>
      <c r="C3" s="194">
        <v>10239808</v>
      </c>
      <c r="D3" s="194" t="s">
        <v>123</v>
      </c>
      <c r="E3" s="194" t="s">
        <v>133</v>
      </c>
      <c r="F3" s="383" t="s">
        <v>134</v>
      </c>
      <c r="G3" s="194">
        <v>300</v>
      </c>
      <c r="H3" s="194">
        <v>392</v>
      </c>
      <c r="I3" s="445">
        <v>5.5</v>
      </c>
      <c r="J3" s="445">
        <f>H3*I3</f>
        <v>2156</v>
      </c>
      <c r="K3" s="194">
        <v>10</v>
      </c>
      <c r="L3" s="435">
        <v>75.650000000000006</v>
      </c>
      <c r="M3" s="435">
        <v>62.65</v>
      </c>
      <c r="N3" s="440">
        <v>0.51</v>
      </c>
      <c r="O3" s="434"/>
      <c r="P3" s="288"/>
      <c r="Q3" s="288"/>
      <c r="R3" s="288"/>
    </row>
    <row r="4" spans="1:18">
      <c r="A4" s="297" t="s">
        <v>132</v>
      </c>
      <c r="B4" s="194" t="s">
        <v>120</v>
      </c>
      <c r="C4" s="194">
        <v>10239838</v>
      </c>
      <c r="D4" s="194" t="s">
        <v>135</v>
      </c>
      <c r="E4" s="194" t="s">
        <v>133</v>
      </c>
      <c r="F4" s="383" t="s">
        <v>134</v>
      </c>
      <c r="G4" s="194">
        <v>300</v>
      </c>
      <c r="H4" s="194">
        <v>317</v>
      </c>
      <c r="I4" s="445">
        <v>5.5</v>
      </c>
      <c r="J4" s="445">
        <f>H4*I4</f>
        <v>1743.5</v>
      </c>
      <c r="K4" s="194">
        <v>7</v>
      </c>
      <c r="L4" s="435">
        <v>62</v>
      </c>
      <c r="M4" s="435">
        <v>53</v>
      </c>
      <c r="N4" s="440">
        <v>0.35699999999999998</v>
      </c>
      <c r="O4" s="434"/>
      <c r="P4" s="288"/>
      <c r="Q4" s="288"/>
      <c r="R4" s="288"/>
    </row>
    <row r="5" spans="1:18">
      <c r="A5" s="297" t="s">
        <v>132</v>
      </c>
      <c r="B5" s="194" t="s">
        <v>120</v>
      </c>
      <c r="C5" s="194">
        <v>14892845</v>
      </c>
      <c r="D5" s="194" t="s">
        <v>136</v>
      </c>
      <c r="E5" s="194" t="s">
        <v>133</v>
      </c>
      <c r="F5" s="383" t="s">
        <v>134</v>
      </c>
      <c r="G5" s="194">
        <v>300</v>
      </c>
      <c r="H5" s="194">
        <v>490</v>
      </c>
      <c r="I5" s="445">
        <v>8.35</v>
      </c>
      <c r="J5" s="445">
        <f>H5*I5</f>
        <v>4091.5</v>
      </c>
      <c r="K5" s="194">
        <v>19</v>
      </c>
      <c r="L5" s="435">
        <v>209.55</v>
      </c>
      <c r="M5" s="435">
        <v>184.85</v>
      </c>
      <c r="N5" s="440">
        <v>0.96899999999999997</v>
      </c>
      <c r="O5" s="434"/>
      <c r="P5" s="288"/>
      <c r="Q5" s="288"/>
      <c r="R5" s="288"/>
    </row>
    <row r="6" spans="1:18" ht="15.75" thickBot="1">
      <c r="A6" s="584" t="s">
        <v>102</v>
      </c>
      <c r="B6" s="585"/>
      <c r="C6" s="585"/>
      <c r="D6" s="585"/>
      <c r="E6" s="585"/>
      <c r="F6" s="586"/>
      <c r="G6" s="441">
        <f t="shared" ref="G6:N6" si="0">SUM(G3:G5)</f>
        <v>900</v>
      </c>
      <c r="H6" s="441">
        <f t="shared" si="0"/>
        <v>1199</v>
      </c>
      <c r="I6" s="441"/>
      <c r="J6" s="446">
        <f>SUM(J3:J5)</f>
        <v>7991</v>
      </c>
      <c r="K6" s="441">
        <f t="shared" si="0"/>
        <v>36</v>
      </c>
      <c r="L6" s="442">
        <f t="shared" si="0"/>
        <v>347.20000000000005</v>
      </c>
      <c r="M6" s="442">
        <f t="shared" si="0"/>
        <v>300.5</v>
      </c>
      <c r="N6" s="443">
        <f t="shared" si="0"/>
        <v>1.8359999999999999</v>
      </c>
    </row>
    <row r="10" spans="1:18" ht="15.75" thickBot="1">
      <c r="A10" t="s">
        <v>69</v>
      </c>
      <c r="B10" s="449" t="s">
        <v>141</v>
      </c>
      <c r="C10" s="449">
        <v>46080</v>
      </c>
    </row>
    <row r="11" spans="1:18" ht="15.75">
      <c r="A11" s="589" t="s">
        <v>127</v>
      </c>
      <c r="B11" s="590"/>
      <c r="C11" s="590"/>
      <c r="D11" s="590"/>
      <c r="E11" s="590"/>
      <c r="F11" s="590"/>
      <c r="G11" s="590"/>
      <c r="H11" s="590"/>
      <c r="I11" s="590"/>
      <c r="J11" s="590"/>
      <c r="K11" s="590"/>
      <c r="L11" s="590"/>
      <c r="M11" s="590"/>
      <c r="N11" s="591"/>
      <c r="O11" s="595"/>
    </row>
    <row r="12" spans="1:18" ht="23.25">
      <c r="A12" s="437" t="s">
        <v>104</v>
      </c>
      <c r="B12" s="291" t="s">
        <v>71</v>
      </c>
      <c r="C12" s="291" t="s">
        <v>129</v>
      </c>
      <c r="D12" s="291" t="s">
        <v>112</v>
      </c>
      <c r="E12" s="291" t="s">
        <v>121</v>
      </c>
      <c r="F12" s="291" t="s">
        <v>122</v>
      </c>
      <c r="G12" s="291" t="s">
        <v>9</v>
      </c>
      <c r="H12" s="291" t="s">
        <v>74</v>
      </c>
      <c r="I12" s="444" t="s">
        <v>130</v>
      </c>
      <c r="J12" s="444" t="s">
        <v>131</v>
      </c>
      <c r="K12" s="291" t="s">
        <v>0</v>
      </c>
      <c r="L12" s="444" t="s">
        <v>125</v>
      </c>
      <c r="M12" s="444" t="s">
        <v>126</v>
      </c>
      <c r="N12" s="438" t="s">
        <v>95</v>
      </c>
      <c r="O12" s="595"/>
    </row>
    <row r="13" spans="1:18" ht="18" customHeight="1">
      <c r="A13" s="297" t="s">
        <v>132</v>
      </c>
      <c r="B13" s="194" t="s">
        <v>120</v>
      </c>
      <c r="C13" s="194">
        <v>10234008</v>
      </c>
      <c r="D13" s="194" t="s">
        <v>123</v>
      </c>
      <c r="E13" s="194" t="s">
        <v>137</v>
      </c>
      <c r="F13" s="383" t="s">
        <v>140</v>
      </c>
      <c r="G13" s="194">
        <v>500</v>
      </c>
      <c r="H13" s="194">
        <v>489</v>
      </c>
      <c r="I13" s="445">
        <v>5.45</v>
      </c>
      <c r="J13" s="445">
        <f>H13*I13</f>
        <v>2665.05</v>
      </c>
      <c r="K13" s="194">
        <v>13</v>
      </c>
      <c r="L13" s="435">
        <v>92</v>
      </c>
      <c r="M13" s="435">
        <v>75</v>
      </c>
      <c r="N13" s="440">
        <f>60*34*25*K13/1000000</f>
        <v>0.66300000000000003</v>
      </c>
      <c r="O13" s="184"/>
    </row>
    <row r="14" spans="1:18" ht="18" customHeight="1">
      <c r="A14" s="297" t="s">
        <v>132</v>
      </c>
      <c r="B14" s="194" t="s">
        <v>120</v>
      </c>
      <c r="C14" s="194">
        <v>10234017</v>
      </c>
      <c r="D14" s="194" t="s">
        <v>138</v>
      </c>
      <c r="E14" s="194" t="s">
        <v>137</v>
      </c>
      <c r="F14" s="383" t="s">
        <v>140</v>
      </c>
      <c r="G14" s="194">
        <v>300</v>
      </c>
      <c r="H14" s="194">
        <v>239</v>
      </c>
      <c r="I14" s="445">
        <v>5.45</v>
      </c>
      <c r="J14" s="445">
        <f>H14*I14</f>
        <v>1302.55</v>
      </c>
      <c r="K14" s="194">
        <v>8</v>
      </c>
      <c r="L14" s="435">
        <v>55.4</v>
      </c>
      <c r="M14" s="435">
        <v>45</v>
      </c>
      <c r="N14" s="440">
        <f>60*34*25*K14/1000000</f>
        <v>0.40799999999999997</v>
      </c>
      <c r="O14" s="382"/>
    </row>
    <row r="15" spans="1:18" ht="18" customHeight="1">
      <c r="A15" s="297" t="s">
        <v>132</v>
      </c>
      <c r="B15" s="194" t="s">
        <v>120</v>
      </c>
      <c r="C15" s="194">
        <v>10233472</v>
      </c>
      <c r="D15" s="194" t="s">
        <v>113</v>
      </c>
      <c r="E15" s="194" t="s">
        <v>137</v>
      </c>
      <c r="F15" s="383" t="s">
        <v>140</v>
      </c>
      <c r="G15" s="194">
        <v>400</v>
      </c>
      <c r="H15" s="194">
        <v>348</v>
      </c>
      <c r="I15" s="445">
        <v>5.2</v>
      </c>
      <c r="J15" s="445">
        <f>H15*I15</f>
        <v>1809.6000000000001</v>
      </c>
      <c r="K15" s="194">
        <v>7</v>
      </c>
      <c r="L15" s="435">
        <v>67</v>
      </c>
      <c r="M15" s="435">
        <v>57.95</v>
      </c>
      <c r="N15" s="440">
        <f>60*34*25*K15/1000000</f>
        <v>0.35699999999999998</v>
      </c>
      <c r="O15" s="382"/>
    </row>
    <row r="16" spans="1:18" ht="18" customHeight="1">
      <c r="A16" s="297" t="s">
        <v>132</v>
      </c>
      <c r="B16" s="194" t="s">
        <v>120</v>
      </c>
      <c r="C16" s="194">
        <v>10233419</v>
      </c>
      <c r="D16" s="194" t="s">
        <v>139</v>
      </c>
      <c r="E16" s="194" t="s">
        <v>137</v>
      </c>
      <c r="F16" s="383" t="s">
        <v>140</v>
      </c>
      <c r="G16" s="194">
        <v>300</v>
      </c>
      <c r="H16" s="194">
        <v>279</v>
      </c>
      <c r="I16" s="445">
        <v>5.2</v>
      </c>
      <c r="J16" s="445">
        <f>H16*I16</f>
        <v>1450.8</v>
      </c>
      <c r="K16" s="194">
        <v>7</v>
      </c>
      <c r="L16" s="435">
        <v>62.45</v>
      </c>
      <c r="M16" s="435">
        <v>53.35</v>
      </c>
      <c r="N16" s="440">
        <f>60*34*25*K16/1000000</f>
        <v>0.35699999999999998</v>
      </c>
    </row>
    <row r="17" spans="1:14" ht="15.75" thickBot="1">
      <c r="A17" s="584" t="s">
        <v>102</v>
      </c>
      <c r="B17" s="585"/>
      <c r="C17" s="585"/>
      <c r="D17" s="585"/>
      <c r="E17" s="585"/>
      <c r="F17" s="586"/>
      <c r="G17" s="441">
        <f t="shared" ref="G17:H17" si="1">SUM(G13:G16)</f>
        <v>1500</v>
      </c>
      <c r="H17" s="441">
        <f t="shared" si="1"/>
        <v>1355</v>
      </c>
      <c r="I17" s="441"/>
      <c r="J17" s="446">
        <f>SUM(J13:J16)</f>
        <v>7228.0000000000009</v>
      </c>
      <c r="K17" s="441">
        <f t="shared" ref="K17:N17" si="2">SUM(K13:K16)</f>
        <v>35</v>
      </c>
      <c r="L17" s="442">
        <f t="shared" si="2"/>
        <v>276.85000000000002</v>
      </c>
      <c r="M17" s="442">
        <f t="shared" si="2"/>
        <v>231.29999999999998</v>
      </c>
      <c r="N17" s="443">
        <f t="shared" si="2"/>
        <v>1.7849999999999999</v>
      </c>
    </row>
    <row r="20" spans="1:14" ht="15.75" thickBot="1">
      <c r="A20" t="s">
        <v>69</v>
      </c>
      <c r="B20" s="449" t="s">
        <v>141</v>
      </c>
      <c r="C20" s="449">
        <v>46091</v>
      </c>
      <c r="D20" s="467" t="s">
        <v>164</v>
      </c>
    </row>
    <row r="21" spans="1:14" ht="15.75">
      <c r="A21" s="589" t="s">
        <v>127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1"/>
    </row>
    <row r="22" spans="1:14" ht="23.25">
      <c r="A22" s="437" t="s">
        <v>104</v>
      </c>
      <c r="B22" s="291" t="s">
        <v>71</v>
      </c>
      <c r="C22" s="291" t="s">
        <v>129</v>
      </c>
      <c r="D22" s="291" t="s">
        <v>112</v>
      </c>
      <c r="E22" s="291" t="s">
        <v>121</v>
      </c>
      <c r="F22" s="291" t="s">
        <v>122</v>
      </c>
      <c r="G22" s="291" t="s">
        <v>9</v>
      </c>
      <c r="H22" s="291" t="s">
        <v>74</v>
      </c>
      <c r="I22" s="444" t="s">
        <v>130</v>
      </c>
      <c r="J22" s="444" t="s">
        <v>131</v>
      </c>
      <c r="K22" s="291" t="s">
        <v>0</v>
      </c>
      <c r="L22" s="444" t="s">
        <v>125</v>
      </c>
      <c r="M22" s="444" t="s">
        <v>126</v>
      </c>
      <c r="N22" s="438" t="s">
        <v>95</v>
      </c>
    </row>
    <row r="23" spans="1:14">
      <c r="A23" s="468" t="s">
        <v>132</v>
      </c>
      <c r="B23" s="469" t="s">
        <v>120</v>
      </c>
      <c r="C23" s="470">
        <v>14893409</v>
      </c>
      <c r="D23" s="470" t="s">
        <v>153</v>
      </c>
      <c r="E23" s="469" t="s">
        <v>152</v>
      </c>
      <c r="F23" s="471" t="s">
        <v>155</v>
      </c>
      <c r="G23" s="472">
        <v>500</v>
      </c>
      <c r="H23" s="472">
        <v>525</v>
      </c>
      <c r="I23" s="473">
        <v>8.5</v>
      </c>
      <c r="J23" s="473">
        <f>H23*I23</f>
        <v>4462.5</v>
      </c>
      <c r="K23" s="469">
        <v>19</v>
      </c>
      <c r="L23" s="474">
        <v>179.9</v>
      </c>
      <c r="M23" s="474">
        <v>155.19999999999999</v>
      </c>
      <c r="N23" s="475">
        <f>60*34*25*K23/1000000</f>
        <v>0.96899999999999997</v>
      </c>
    </row>
    <row r="24" spans="1:14">
      <c r="A24" s="468" t="s">
        <v>132</v>
      </c>
      <c r="B24" s="469" t="s">
        <v>120</v>
      </c>
      <c r="C24" s="470">
        <v>14894578</v>
      </c>
      <c r="D24" s="470" t="s">
        <v>154</v>
      </c>
      <c r="E24" s="469" t="s">
        <v>152</v>
      </c>
      <c r="F24" s="471" t="s">
        <v>155</v>
      </c>
      <c r="G24" s="476">
        <v>500</v>
      </c>
      <c r="H24" s="476">
        <v>526</v>
      </c>
      <c r="I24" s="473">
        <v>8.5</v>
      </c>
      <c r="J24" s="473">
        <f>H24*I24</f>
        <v>4471</v>
      </c>
      <c r="K24" s="469">
        <v>16</v>
      </c>
      <c r="L24" s="474">
        <v>163</v>
      </c>
      <c r="M24" s="474">
        <v>142.19999999999999</v>
      </c>
      <c r="N24" s="475">
        <f>60*34*25*K24/1000000</f>
        <v>0.81599999999999995</v>
      </c>
    </row>
    <row r="25" spans="1:14" ht="15.75" thickBot="1">
      <c r="A25" s="584" t="s">
        <v>102</v>
      </c>
      <c r="B25" s="585"/>
      <c r="C25" s="585"/>
      <c r="D25" s="585"/>
      <c r="E25" s="585"/>
      <c r="F25" s="586"/>
      <c r="G25" s="441">
        <f>SUM(G23:G24)</f>
        <v>1000</v>
      </c>
      <c r="H25" s="441">
        <f>SUM(H23:H24)</f>
        <v>1051</v>
      </c>
      <c r="I25" s="441"/>
      <c r="J25" s="446">
        <f>SUM(J23:J24)</f>
        <v>8933.5</v>
      </c>
      <c r="K25" s="441">
        <f>SUM(K23:K24)</f>
        <v>35</v>
      </c>
      <c r="L25" s="442">
        <f>SUM(L23:L24)</f>
        <v>342.9</v>
      </c>
      <c r="M25" s="442">
        <f>SUM(M23:M24)</f>
        <v>297.39999999999998</v>
      </c>
      <c r="N25" s="443">
        <f>SUM(N23:N24)</f>
        <v>1.7849999999999999</v>
      </c>
    </row>
    <row r="28" spans="1:14" ht="15.75" thickBot="1">
      <c r="A28" t="s">
        <v>69</v>
      </c>
      <c r="B28" s="449" t="s">
        <v>141</v>
      </c>
      <c r="C28" s="449">
        <v>46102</v>
      </c>
      <c r="D28" s="467"/>
    </row>
    <row r="29" spans="1:14" ht="15.75">
      <c r="A29" s="589" t="s">
        <v>127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590"/>
      <c r="N29" s="591"/>
    </row>
    <row r="30" spans="1:14" ht="23.25">
      <c r="A30" s="437" t="s">
        <v>104</v>
      </c>
      <c r="B30" s="291" t="s">
        <v>71</v>
      </c>
      <c r="C30" s="291" t="s">
        <v>129</v>
      </c>
      <c r="D30" s="291" t="s">
        <v>112</v>
      </c>
      <c r="E30" s="291" t="s">
        <v>121</v>
      </c>
      <c r="F30" s="291" t="s">
        <v>122</v>
      </c>
      <c r="G30" s="291" t="s">
        <v>9</v>
      </c>
      <c r="H30" s="291" t="s">
        <v>74</v>
      </c>
      <c r="I30" s="444" t="s">
        <v>130</v>
      </c>
      <c r="J30" s="444" t="s">
        <v>131</v>
      </c>
      <c r="K30" s="291" t="s">
        <v>0</v>
      </c>
      <c r="L30" s="444" t="s">
        <v>125</v>
      </c>
      <c r="M30" s="444" t="s">
        <v>126</v>
      </c>
      <c r="N30" s="438" t="s">
        <v>95</v>
      </c>
    </row>
    <row r="31" spans="1:14">
      <c r="A31" s="477" t="s">
        <v>132</v>
      </c>
      <c r="B31" s="477" t="s">
        <v>120</v>
      </c>
      <c r="C31" s="478">
        <v>14893409</v>
      </c>
      <c r="D31" s="478" t="s">
        <v>153</v>
      </c>
      <c r="E31" s="477" t="s">
        <v>161</v>
      </c>
      <c r="F31" s="477" t="s">
        <v>155</v>
      </c>
      <c r="G31" s="479">
        <v>500</v>
      </c>
      <c r="H31" s="479">
        <v>525</v>
      </c>
      <c r="I31" s="480">
        <v>8.5</v>
      </c>
      <c r="J31" s="480">
        <f>H31*I31</f>
        <v>4462.5</v>
      </c>
      <c r="K31" s="477">
        <v>19</v>
      </c>
      <c r="L31" s="481">
        <v>179.9</v>
      </c>
      <c r="M31" s="481">
        <v>155.19999999999999</v>
      </c>
      <c r="N31" s="440">
        <f>60*34*25*K31/1000000</f>
        <v>0.96899999999999997</v>
      </c>
    </row>
    <row r="32" spans="1:14">
      <c r="A32" s="477" t="s">
        <v>132</v>
      </c>
      <c r="B32" s="477" t="s">
        <v>120</v>
      </c>
      <c r="C32" s="482">
        <v>14893696</v>
      </c>
      <c r="D32" s="483" t="s">
        <v>162</v>
      </c>
      <c r="E32" s="477" t="s">
        <v>161</v>
      </c>
      <c r="F32" s="477" t="s">
        <v>155</v>
      </c>
      <c r="G32" s="479">
        <v>500</v>
      </c>
      <c r="H32" s="479">
        <v>499</v>
      </c>
      <c r="I32" s="480">
        <v>9.5</v>
      </c>
      <c r="J32" s="480">
        <f>H32*I32</f>
        <v>4740.5</v>
      </c>
      <c r="K32" s="477">
        <v>23</v>
      </c>
      <c r="L32" s="481">
        <v>255.25</v>
      </c>
      <c r="M32" s="481">
        <v>226.4</v>
      </c>
      <c r="N32" s="440">
        <f>60*34*25*K32/1000000</f>
        <v>1.173</v>
      </c>
    </row>
    <row r="33" spans="1:14">
      <c r="A33" s="477" t="s">
        <v>132</v>
      </c>
      <c r="B33" s="477" t="s">
        <v>120</v>
      </c>
      <c r="C33" s="482">
        <v>14893608</v>
      </c>
      <c r="D33" s="478" t="s">
        <v>117</v>
      </c>
      <c r="E33" s="477" t="s">
        <v>161</v>
      </c>
      <c r="F33" s="477" t="s">
        <v>155</v>
      </c>
      <c r="G33" s="484">
        <v>500</v>
      </c>
      <c r="H33" s="484">
        <v>418</v>
      </c>
      <c r="I33" s="480">
        <v>9.5</v>
      </c>
      <c r="J33" s="480">
        <f>H33*I33</f>
        <v>3971</v>
      </c>
      <c r="K33" s="477">
        <v>22</v>
      </c>
      <c r="L33" s="481">
        <v>163</v>
      </c>
      <c r="M33" s="481">
        <v>142.19999999999999</v>
      </c>
      <c r="N33" s="440">
        <f>60*34*25*K33/1000000</f>
        <v>1.1220000000000001</v>
      </c>
    </row>
    <row r="34" spans="1:14" ht="15.75" thickBot="1">
      <c r="A34" s="584" t="s">
        <v>102</v>
      </c>
      <c r="B34" s="585"/>
      <c r="C34" s="585"/>
      <c r="D34" s="585"/>
      <c r="E34" s="585"/>
      <c r="F34" s="586"/>
      <c r="G34" s="441">
        <f>SUM(G31:G33)</f>
        <v>1500</v>
      </c>
      <c r="H34" s="441">
        <f>SUM(H31:H33)</f>
        <v>1442</v>
      </c>
      <c r="I34" s="441"/>
      <c r="J34" s="446">
        <f>SUM(J31:J33)</f>
        <v>13174</v>
      </c>
      <c r="K34" s="441">
        <f>SUM(K31:K33)</f>
        <v>64</v>
      </c>
      <c r="L34" s="442">
        <f>SUM(L31:L33)</f>
        <v>598.15</v>
      </c>
      <c r="M34" s="442">
        <f>SUM(M31:M33)</f>
        <v>523.79999999999995</v>
      </c>
      <c r="N34" s="443">
        <f>SUM(N31:N33)</f>
        <v>3.2640000000000002</v>
      </c>
    </row>
    <row r="35" spans="1:14">
      <c r="A35" s="485" t="s">
        <v>165</v>
      </c>
    </row>
    <row r="38" spans="1:14" ht="15.75" thickBot="1">
      <c r="A38" t="s">
        <v>69</v>
      </c>
      <c r="B38" s="449" t="s">
        <v>141</v>
      </c>
      <c r="C38" s="449">
        <v>46108</v>
      </c>
      <c r="D38" s="467"/>
    </row>
    <row r="39" spans="1:14" ht="15.75">
      <c r="A39" s="589" t="s">
        <v>127</v>
      </c>
      <c r="B39" s="590"/>
      <c r="C39" s="590"/>
      <c r="D39" s="590"/>
      <c r="E39" s="590"/>
      <c r="F39" s="590"/>
      <c r="G39" s="590"/>
      <c r="H39" s="590"/>
      <c r="I39" s="590"/>
      <c r="J39" s="590"/>
      <c r="K39" s="590"/>
      <c r="L39" s="590"/>
      <c r="M39" s="590"/>
      <c r="N39" s="591"/>
    </row>
    <row r="40" spans="1:14" ht="23.25">
      <c r="A40" s="437" t="s">
        <v>104</v>
      </c>
      <c r="B40" s="291" t="s">
        <v>71</v>
      </c>
      <c r="C40" s="291" t="s">
        <v>129</v>
      </c>
      <c r="D40" s="291" t="s">
        <v>112</v>
      </c>
      <c r="E40" s="291" t="s">
        <v>121</v>
      </c>
      <c r="F40" s="291" t="s">
        <v>122</v>
      </c>
      <c r="G40" s="291" t="s">
        <v>9</v>
      </c>
      <c r="H40" s="291" t="s">
        <v>74</v>
      </c>
      <c r="I40" s="444" t="s">
        <v>130</v>
      </c>
      <c r="J40" s="444" t="s">
        <v>131</v>
      </c>
      <c r="K40" s="291" t="s">
        <v>0</v>
      </c>
      <c r="L40" s="444" t="s">
        <v>125</v>
      </c>
      <c r="M40" s="444" t="s">
        <v>126</v>
      </c>
      <c r="N40" s="438" t="s">
        <v>95</v>
      </c>
    </row>
    <row r="41" spans="1:14" ht="21.95" customHeight="1">
      <c r="A41" s="502" t="s">
        <v>132</v>
      </c>
      <c r="B41" s="194" t="s">
        <v>120</v>
      </c>
      <c r="C41" s="199">
        <v>14894578</v>
      </c>
      <c r="D41" s="199" t="s">
        <v>154</v>
      </c>
      <c r="E41" s="194" t="s">
        <v>170</v>
      </c>
      <c r="F41" s="383" t="s">
        <v>171</v>
      </c>
      <c r="G41" s="503">
        <v>500</v>
      </c>
      <c r="H41" s="503">
        <v>526</v>
      </c>
      <c r="I41" s="445">
        <v>8.5</v>
      </c>
      <c r="J41" s="445">
        <f>H41*I41</f>
        <v>4471</v>
      </c>
      <c r="K41" s="194">
        <v>16</v>
      </c>
      <c r="L41" s="435">
        <v>163</v>
      </c>
      <c r="M41" s="435">
        <v>142.19999999999999</v>
      </c>
      <c r="N41" s="440">
        <f>60*34*25*K41/1000000</f>
        <v>0.81599999999999995</v>
      </c>
    </row>
    <row r="42" spans="1:14" ht="15.75" thickBot="1">
      <c r="A42" s="584" t="s">
        <v>102</v>
      </c>
      <c r="B42" s="585"/>
      <c r="C42" s="585"/>
      <c r="D42" s="585"/>
      <c r="E42" s="585"/>
      <c r="F42" s="586"/>
      <c r="G42" s="441">
        <f>SUM(G41:G41)</f>
        <v>500</v>
      </c>
      <c r="H42" s="441">
        <f>SUM(H41:H41)</f>
        <v>526</v>
      </c>
      <c r="I42" s="441"/>
      <c r="J42" s="446">
        <f>SUM(J41:J41)</f>
        <v>4471</v>
      </c>
      <c r="K42" s="441">
        <f>SUM(K41:K41)</f>
        <v>16</v>
      </c>
      <c r="L42" s="442">
        <f>SUM(L41:L41)</f>
        <v>163</v>
      </c>
      <c r="M42" s="442">
        <f>SUM(M41:M41)</f>
        <v>142.19999999999999</v>
      </c>
      <c r="N42" s="443">
        <f>SUM(N41:N41)</f>
        <v>0.81599999999999995</v>
      </c>
    </row>
    <row r="43" spans="1:14">
      <c r="A43" s="485" t="s">
        <v>165</v>
      </c>
    </row>
    <row r="46" spans="1:14" ht="15.75" thickBot="1">
      <c r="A46" t="s">
        <v>69</v>
      </c>
      <c r="B46" s="449" t="s">
        <v>141</v>
      </c>
      <c r="C46" s="449">
        <v>46218</v>
      </c>
      <c r="D46" s="467"/>
    </row>
    <row r="47" spans="1:14" ht="15.75">
      <c r="A47" s="589" t="s">
        <v>127</v>
      </c>
      <c r="B47" s="590"/>
      <c r="C47" s="590"/>
      <c r="D47" s="590"/>
      <c r="E47" s="590"/>
      <c r="F47" s="590"/>
      <c r="G47" s="590"/>
      <c r="H47" s="590"/>
      <c r="I47" s="590"/>
      <c r="J47" s="590"/>
      <c r="K47" s="590"/>
      <c r="L47" s="590"/>
      <c r="M47" s="590"/>
      <c r="N47" s="591"/>
    </row>
    <row r="48" spans="1:14" ht="23.25">
      <c r="A48" s="437" t="s">
        <v>104</v>
      </c>
      <c r="B48" s="291" t="s">
        <v>71</v>
      </c>
      <c r="C48" s="291" t="s">
        <v>129</v>
      </c>
      <c r="D48" s="291" t="s">
        <v>112</v>
      </c>
      <c r="E48" s="291" t="s">
        <v>121</v>
      </c>
      <c r="F48" s="291" t="s">
        <v>122</v>
      </c>
      <c r="G48" s="291" t="s">
        <v>9</v>
      </c>
      <c r="H48" s="291" t="s">
        <v>74</v>
      </c>
      <c r="I48" s="444" t="s">
        <v>130</v>
      </c>
      <c r="J48" s="444" t="s">
        <v>131</v>
      </c>
      <c r="K48" s="291" t="s">
        <v>0</v>
      </c>
      <c r="L48" s="444" t="s">
        <v>125</v>
      </c>
      <c r="M48" s="444" t="s">
        <v>126</v>
      </c>
      <c r="N48" s="438" t="s">
        <v>95</v>
      </c>
    </row>
    <row r="49" spans="1:14">
      <c r="A49" s="502" t="s">
        <v>132</v>
      </c>
      <c r="B49" s="194" t="s">
        <v>192</v>
      </c>
      <c r="C49" s="199">
        <v>20271008</v>
      </c>
      <c r="D49" s="199" t="s">
        <v>117</v>
      </c>
      <c r="E49" s="194" t="s">
        <v>217</v>
      </c>
      <c r="F49" s="383" t="s">
        <v>219</v>
      </c>
      <c r="G49" s="503">
        <v>730</v>
      </c>
      <c r="H49" s="503">
        <v>773</v>
      </c>
      <c r="I49" s="445">
        <v>8.85</v>
      </c>
      <c r="J49" s="445">
        <f>H49*I49</f>
        <v>6841.0499999999993</v>
      </c>
      <c r="K49" s="194">
        <v>19</v>
      </c>
      <c r="L49" s="435">
        <v>165.95</v>
      </c>
      <c r="M49" s="435">
        <v>141.25</v>
      </c>
      <c r="N49" s="440">
        <f>60*34*25*K49/1000000</f>
        <v>0.96899999999999997</v>
      </c>
    </row>
    <row r="50" spans="1:14" ht="15.75" thickBot="1">
      <c r="A50" s="584" t="s">
        <v>102</v>
      </c>
      <c r="B50" s="585"/>
      <c r="C50" s="585"/>
      <c r="D50" s="585"/>
      <c r="E50" s="585"/>
      <c r="F50" s="586"/>
      <c r="G50" s="441">
        <f>SUM(G49:G49)</f>
        <v>730</v>
      </c>
      <c r="H50" s="441">
        <f>SUM(H49:H49)</f>
        <v>773</v>
      </c>
      <c r="I50" s="441"/>
      <c r="J50" s="446">
        <f>SUM(J49:J49)</f>
        <v>6841.0499999999993</v>
      </c>
      <c r="K50" s="441">
        <f>SUM(K49:K49)</f>
        <v>19</v>
      </c>
      <c r="L50" s="442">
        <f>SUM(L49:L49)</f>
        <v>165.95</v>
      </c>
      <c r="M50" s="442">
        <f>SUM(M49:M49)</f>
        <v>141.25</v>
      </c>
      <c r="N50" s="443">
        <f>SUM(N49:N49)</f>
        <v>0.96899999999999997</v>
      </c>
    </row>
    <row r="51" spans="1:14">
      <c r="A51" s="485" t="s">
        <v>165</v>
      </c>
    </row>
  </sheetData>
  <mergeCells count="13">
    <mergeCell ref="A47:N47"/>
    <mergeCell ref="A50:F50"/>
    <mergeCell ref="A1:N1"/>
    <mergeCell ref="A6:F6"/>
    <mergeCell ref="O11:O12"/>
    <mergeCell ref="A11:N11"/>
    <mergeCell ref="A39:N39"/>
    <mergeCell ref="A17:F17"/>
    <mergeCell ref="A42:F42"/>
    <mergeCell ref="A29:N29"/>
    <mergeCell ref="A34:F34"/>
    <mergeCell ref="A21:N21"/>
    <mergeCell ref="A25:F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9343-C810-4839-82B1-59DB8A40DEF2}">
  <dimension ref="A1:R21"/>
  <sheetViews>
    <sheetView topLeftCell="A9" workbookViewId="0">
      <selection activeCell="G23" sqref="G23"/>
    </sheetView>
  </sheetViews>
  <sheetFormatPr defaultRowHeight="15"/>
  <cols>
    <col min="1" max="1" width="12.7109375" customWidth="1"/>
    <col min="2" max="2" width="8.85546875" style="2" customWidth="1"/>
    <col min="3" max="3" width="9.28515625" style="2" customWidth="1"/>
    <col min="4" max="4" width="11.7109375" style="2" bestFit="1" customWidth="1"/>
    <col min="5" max="5" width="14.42578125" style="2" customWidth="1"/>
    <col min="6" max="6" width="22.7109375" style="2" customWidth="1"/>
    <col min="7" max="7" width="8.85546875" style="2" customWidth="1"/>
    <col min="8" max="9" width="8.7109375" style="2" customWidth="1"/>
    <col min="10" max="10" width="10.7109375" style="2" customWidth="1"/>
    <col min="11" max="11" width="8.28515625" style="2" customWidth="1"/>
    <col min="12" max="12" width="11.42578125" style="2" customWidth="1"/>
    <col min="13" max="13" width="9.42578125" style="2" customWidth="1"/>
    <col min="14" max="14" width="8.7109375" style="2" customWidth="1"/>
    <col min="15" max="15" width="13.28515625" style="2" bestFit="1" customWidth="1"/>
    <col min="16" max="16" width="12.5703125" style="2" customWidth="1"/>
    <col min="17" max="17" width="13.5703125" style="2" customWidth="1"/>
    <col min="18" max="18" width="26.5703125" style="2" bestFit="1" customWidth="1"/>
    <col min="19" max="19" width="11.5703125" bestFit="1" customWidth="1"/>
  </cols>
  <sheetData>
    <row r="1" spans="1:18" ht="15.75">
      <c r="A1" s="589" t="s">
        <v>201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1"/>
    </row>
    <row r="2" spans="1:18" s="382" customFormat="1" ht="27" customHeight="1">
      <c r="A2" s="437" t="s">
        <v>104</v>
      </c>
      <c r="B2" s="291" t="s">
        <v>71</v>
      </c>
      <c r="C2" s="291" t="s">
        <v>129</v>
      </c>
      <c r="D2" s="291" t="s">
        <v>112</v>
      </c>
      <c r="E2" s="291" t="s">
        <v>121</v>
      </c>
      <c r="F2" s="291" t="s">
        <v>122</v>
      </c>
      <c r="G2" s="291" t="s">
        <v>9</v>
      </c>
      <c r="H2" s="291" t="s">
        <v>74</v>
      </c>
      <c r="I2" s="444" t="s">
        <v>130</v>
      </c>
      <c r="J2" s="444" t="s">
        <v>131</v>
      </c>
      <c r="K2" s="291" t="s">
        <v>0</v>
      </c>
      <c r="L2" s="444" t="s">
        <v>125</v>
      </c>
      <c r="M2" s="444" t="s">
        <v>126</v>
      </c>
      <c r="N2" s="438" t="s">
        <v>95</v>
      </c>
      <c r="O2" s="436" t="s">
        <v>72</v>
      </c>
      <c r="P2" s="291" t="s">
        <v>69</v>
      </c>
      <c r="Q2" s="291" t="s">
        <v>73</v>
      </c>
      <c r="R2" s="291" t="s">
        <v>94</v>
      </c>
    </row>
    <row r="3" spans="1:18">
      <c r="A3" s="562" t="s">
        <v>191</v>
      </c>
      <c r="B3" s="524" t="s">
        <v>192</v>
      </c>
      <c r="C3" s="524" t="s">
        <v>117</v>
      </c>
      <c r="D3" s="524" t="s">
        <v>193</v>
      </c>
      <c r="E3" s="194" t="s">
        <v>197</v>
      </c>
      <c r="F3" s="192" t="s">
        <v>194</v>
      </c>
      <c r="G3" s="503">
        <v>300</v>
      </c>
      <c r="H3" s="503">
        <v>296</v>
      </c>
      <c r="I3" s="225">
        <v>9.25</v>
      </c>
      <c r="J3" s="445">
        <f>H3*I3</f>
        <v>2738</v>
      </c>
      <c r="K3" s="225">
        <v>13</v>
      </c>
      <c r="L3" s="435">
        <v>134.80000000000001</v>
      </c>
      <c r="M3" s="435">
        <v>116.86</v>
      </c>
      <c r="N3" s="440">
        <f>60*34*25*K3/1000000</f>
        <v>0.66300000000000003</v>
      </c>
      <c r="O3" s="434"/>
      <c r="P3" s="288"/>
      <c r="Q3" s="288"/>
      <c r="R3" s="288"/>
    </row>
    <row r="4" spans="1:18">
      <c r="A4" s="562" t="s">
        <v>191</v>
      </c>
      <c r="B4" s="524" t="s">
        <v>192</v>
      </c>
      <c r="C4" s="524" t="s">
        <v>195</v>
      </c>
      <c r="D4" s="524" t="s">
        <v>196</v>
      </c>
      <c r="E4" s="194" t="s">
        <v>197</v>
      </c>
      <c r="F4" s="192" t="s">
        <v>194</v>
      </c>
      <c r="G4" s="503">
        <v>300</v>
      </c>
      <c r="H4" s="503">
        <v>300</v>
      </c>
      <c r="I4" s="225">
        <v>9.25</v>
      </c>
      <c r="J4" s="445">
        <f>H4*I4</f>
        <v>2775</v>
      </c>
      <c r="K4" s="225">
        <v>13</v>
      </c>
      <c r="L4" s="435">
        <v>136.38999999999999</v>
      </c>
      <c r="M4" s="435">
        <v>118.45</v>
      </c>
      <c r="N4" s="440">
        <f>60*34*25*K4/1000000</f>
        <v>0.66300000000000003</v>
      </c>
      <c r="O4" s="434"/>
      <c r="P4" s="288"/>
      <c r="Q4" s="288"/>
      <c r="R4" s="288"/>
    </row>
    <row r="5" spans="1:18" ht="15.75" thickBot="1">
      <c r="A5" s="584" t="s">
        <v>102</v>
      </c>
      <c r="B5" s="585"/>
      <c r="C5" s="585"/>
      <c r="D5" s="585"/>
      <c r="E5" s="585"/>
      <c r="F5" s="586"/>
      <c r="G5" s="441">
        <f>SUM(G3:G4)</f>
        <v>600</v>
      </c>
      <c r="H5" s="441">
        <f>SUM(H3:H4)</f>
        <v>596</v>
      </c>
      <c r="I5" s="441"/>
      <c r="J5" s="446">
        <f>SUM(J3:J4)</f>
        <v>5513</v>
      </c>
      <c r="K5" s="441">
        <f>SUM(K3:K4)</f>
        <v>26</v>
      </c>
      <c r="L5" s="442">
        <f>SUM(L3:L4)</f>
        <v>271.19</v>
      </c>
      <c r="M5" s="442">
        <f>SUM(M3:M4)</f>
        <v>235.31</v>
      </c>
      <c r="N5" s="443">
        <f>SUM(N3:N4)</f>
        <v>1.3260000000000001</v>
      </c>
    </row>
    <row r="6" spans="1:18">
      <c r="A6" s="485" t="s">
        <v>165</v>
      </c>
    </row>
    <row r="9" spans="1:18" ht="15.75" thickBot="1"/>
    <row r="10" spans="1:18" ht="15.75">
      <c r="A10" s="589" t="s">
        <v>227</v>
      </c>
      <c r="B10" s="590"/>
      <c r="C10" s="590"/>
      <c r="D10" s="590"/>
      <c r="E10" s="590"/>
      <c r="F10" s="590"/>
      <c r="G10" s="590"/>
      <c r="H10" s="590"/>
      <c r="I10" s="590"/>
      <c r="J10" s="590"/>
      <c r="K10" s="590"/>
      <c r="L10" s="590"/>
      <c r="M10" s="590"/>
      <c r="N10" s="591"/>
    </row>
    <row r="11" spans="1:18" ht="34.5">
      <c r="A11" s="437" t="s">
        <v>104</v>
      </c>
      <c r="B11" s="291" t="s">
        <v>71</v>
      </c>
      <c r="C11" s="291" t="s">
        <v>129</v>
      </c>
      <c r="D11" s="291" t="s">
        <v>112</v>
      </c>
      <c r="E11" s="291" t="s">
        <v>121</v>
      </c>
      <c r="F11" s="291" t="s">
        <v>122</v>
      </c>
      <c r="G11" s="291" t="s">
        <v>9</v>
      </c>
      <c r="H11" s="291" t="s">
        <v>74</v>
      </c>
      <c r="I11" s="444" t="s">
        <v>130</v>
      </c>
      <c r="J11" s="444" t="s">
        <v>131</v>
      </c>
      <c r="K11" s="291" t="s">
        <v>0</v>
      </c>
      <c r="L11" s="444" t="s">
        <v>125</v>
      </c>
      <c r="M11" s="444" t="s">
        <v>126</v>
      </c>
      <c r="N11" s="438" t="s">
        <v>95</v>
      </c>
      <c r="O11" s="436" t="s">
        <v>72</v>
      </c>
      <c r="P11" s="291" t="s">
        <v>69</v>
      </c>
      <c r="Q11" s="291" t="s">
        <v>73</v>
      </c>
      <c r="R11" s="291" t="s">
        <v>94</v>
      </c>
    </row>
    <row r="12" spans="1:18">
      <c r="A12" s="562" t="s">
        <v>191</v>
      </c>
      <c r="B12" s="524" t="s">
        <v>192</v>
      </c>
      <c r="C12" s="524" t="s">
        <v>117</v>
      </c>
      <c r="D12" s="524" t="s">
        <v>228</v>
      </c>
      <c r="E12" s="194" t="s">
        <v>221</v>
      </c>
      <c r="F12" s="192" t="s">
        <v>225</v>
      </c>
      <c r="G12" s="503">
        <v>400</v>
      </c>
      <c r="H12" s="503">
        <v>400</v>
      </c>
      <c r="I12" s="577">
        <v>8.6999999999999993</v>
      </c>
      <c r="J12" s="445">
        <f>H12*I12</f>
        <v>3479.9999999999995</v>
      </c>
      <c r="K12" s="225">
        <v>13</v>
      </c>
      <c r="L12" s="435">
        <v>124.94</v>
      </c>
      <c r="M12" s="435">
        <v>107</v>
      </c>
      <c r="N12" s="440">
        <f>60*34*25*K12/1000000</f>
        <v>0.66300000000000003</v>
      </c>
      <c r="O12" s="434"/>
      <c r="P12" s="288"/>
      <c r="Q12" s="288"/>
      <c r="R12" s="288"/>
    </row>
    <row r="13" spans="1:18">
      <c r="A13" s="562" t="s">
        <v>191</v>
      </c>
      <c r="B13" s="524" t="s">
        <v>192</v>
      </c>
      <c r="C13" s="524" t="s">
        <v>117</v>
      </c>
      <c r="D13" s="524" t="s">
        <v>223</v>
      </c>
      <c r="E13" s="194" t="s">
        <v>221</v>
      </c>
      <c r="F13" s="192" t="s">
        <v>225</v>
      </c>
      <c r="G13" s="503">
        <v>300</v>
      </c>
      <c r="H13" s="503">
        <v>300</v>
      </c>
      <c r="I13" s="577">
        <v>8.6999999999999993</v>
      </c>
      <c r="J13" s="445">
        <f>H13*I13</f>
        <v>2610</v>
      </c>
      <c r="K13" s="225">
        <v>10</v>
      </c>
      <c r="L13" s="435">
        <v>94.29</v>
      </c>
      <c r="M13" s="435">
        <v>80.489999999999995</v>
      </c>
      <c r="N13" s="440">
        <f>60*34*25*K13/1000000</f>
        <v>0.51</v>
      </c>
      <c r="O13" s="434"/>
      <c r="P13" s="288"/>
      <c r="Q13" s="288"/>
      <c r="R13" s="288"/>
    </row>
    <row r="14" spans="1:18" ht="15.75" thickBot="1">
      <c r="A14" s="584" t="s">
        <v>102</v>
      </c>
      <c r="B14" s="585"/>
      <c r="C14" s="585"/>
      <c r="D14" s="585"/>
      <c r="E14" s="585"/>
      <c r="F14" s="586"/>
      <c r="G14" s="441">
        <f>SUM(G12:G13)</f>
        <v>700</v>
      </c>
      <c r="H14" s="441">
        <f>SUM(H12:H13)</f>
        <v>700</v>
      </c>
      <c r="I14" s="441"/>
      <c r="J14" s="446">
        <f>SUM(J12:J13)</f>
        <v>6090</v>
      </c>
      <c r="K14" s="441">
        <f>SUM(K12:K13)</f>
        <v>23</v>
      </c>
      <c r="L14" s="442">
        <f>SUM(L12:L13)</f>
        <v>219.23000000000002</v>
      </c>
      <c r="M14" s="442">
        <f>SUM(M12:M13)</f>
        <v>187.49</v>
      </c>
      <c r="N14" s="443">
        <f>SUM(N12:N13)</f>
        <v>1.173</v>
      </c>
    </row>
    <row r="15" spans="1:18">
      <c r="A15" s="485" t="s">
        <v>165</v>
      </c>
    </row>
    <row r="19" spans="2:3" ht="15.75">
      <c r="B19" s="579"/>
      <c r="C19" s="579"/>
    </row>
    <row r="20" spans="2:3">
      <c r="B20" s="578"/>
      <c r="C20" s="578"/>
    </row>
    <row r="21" spans="2:3">
      <c r="C21" s="578"/>
    </row>
  </sheetData>
  <mergeCells count="4">
    <mergeCell ref="A1:N1"/>
    <mergeCell ref="A5:F5"/>
    <mergeCell ref="A10:N10"/>
    <mergeCell ref="A14:F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FAE3A118E4054FAE564BDD01BE0D84" ma:contentTypeVersion="6" ma:contentTypeDescription="Create a new document." ma:contentTypeScope="" ma:versionID="23a254537e8c5aa6e958e54a79a634fb">
  <xsd:schema xmlns:xsd="http://www.w3.org/2001/XMLSchema" xmlns:xs="http://www.w3.org/2001/XMLSchema" xmlns:p="http://schemas.microsoft.com/office/2006/metadata/properties" xmlns:ns2="dcc2b7f8-a051-4c7e-8ad6-100843bfd0a2" targetNamespace="http://schemas.microsoft.com/office/2006/metadata/properties" ma:root="true" ma:fieldsID="597c7e10980d8fc645b26f67ae32f6a4" ns2:_="">
    <xsd:import namespace="dcc2b7f8-a051-4c7e-8ad6-100843bfd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2b7f8-a051-4c7e-8ad6-100843bfd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8C0E0C-2995-47C7-9A99-AEE243D678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98243B-FA3E-4191-B834-847D5037A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c2b7f8-a051-4c7e-8ad6-100843bfd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14C311-97AC-4A22-A22A-C806D0A13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Shipment-01-04-2026</vt:lpstr>
      <vt:lpstr>Manual Inv No.</vt:lpstr>
      <vt:lpstr>Vendor Payment sheet</vt:lpstr>
      <vt:lpstr>Booking Sheet-INDIAN ROBIN</vt:lpstr>
      <vt:lpstr>Booing -XLNC FASHIONS </vt:lpstr>
      <vt:lpstr>Booking-Crimson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TECHNO-SHARAD</dc:creator>
  <cp:lastModifiedBy>Sharad Tiwari</cp:lastModifiedBy>
  <cp:lastPrinted>2026-03-19T04:10:12Z</cp:lastPrinted>
  <dcterms:created xsi:type="dcterms:W3CDTF">2019-08-27T12:53:51Z</dcterms:created>
  <dcterms:modified xsi:type="dcterms:W3CDTF">2026-07-23T14:01:14Z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0x010100A5FAE3A118E4054FAE564BDD01BE0D84</vt:lpwstr>
  </property>
</Properties>
</file>